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05_02_Computer_Simulation_CS312_Lab\0000_CS312_Computer_Simulation\CS\Lab Reports\"/>
    </mc:Choice>
  </mc:AlternateContent>
  <xr:revisionPtr revIDLastSave="0" documentId="13_ncr:1_{0308F9FF-0273-4A40-969D-94075E8EEE67}" xr6:coauthVersionLast="47" xr6:coauthVersionMax="47" xr10:uidLastSave="{00000000-0000-0000-0000-000000000000}"/>
  <bookViews>
    <workbookView xWindow="-108" yWindow="-108" windowWidth="23256" windowHeight="1257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</definedName>
    <definedName name="ExternalData_1" localSheetId="4" hidden="1">CounterStatsByRep!$A$1:$G$2</definedName>
    <definedName name="ExternalData_1" localSheetId="2" hidden="1">DiscreteTimeStatsByRep!$A$1:$K$7</definedName>
    <definedName name="ExternalData_1" localSheetId="6" hidden="1">FrequencyStatsByRep!$A$1:$K$2</definedName>
    <definedName name="ExternalData_1" localSheetId="5" hidden="1">OutputStatsByRep!$A$1:$H$4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16" r:id="rId8"/>
    <pivotCache cacheId="123" r:id="rId9"/>
    <pivotCache cacheId="130" r:id="rId10"/>
    <pivotCache cacheId="137" r:id="rId11"/>
    <pivotCache cacheId="144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20" l="1"/>
  <c r="L4" i="20" s="1" a="1"/>
  <c r="L4" i="20" s="1"/>
  <c r="I3" i="20"/>
  <c r="K3" i="20" s="1" a="1"/>
  <c r="K3" i="20" s="1"/>
  <c r="I4" i="20"/>
  <c r="J2" i="20" a="1"/>
  <c r="J2" i="20" s="1"/>
  <c r="J3" i="20" a="1"/>
  <c r="J3" i="20" s="1"/>
  <c r="J4" i="20" a="1"/>
  <c r="J4" i="20" s="1"/>
  <c r="K2" i="20" a="1"/>
  <c r="K2" i="20" s="1"/>
  <c r="K4" i="20" a="1"/>
  <c r="K4" i="20" s="1"/>
  <c r="L2" i="20" a="1"/>
  <c r="L2" i="20" s="1"/>
  <c r="L3" i="20" a="1"/>
  <c r="L3" i="20" s="1"/>
  <c r="M2" i="20" a="1"/>
  <c r="M2" i="20" s="1"/>
  <c r="M3" i="20" a="1"/>
  <c r="M3" i="20" s="1"/>
  <c r="M4" i="20" a="1"/>
  <c r="M4" i="20" s="1"/>
  <c r="O3" i="20" a="1"/>
  <c r="O3" i="20"/>
  <c r="P2" i="20" a="1"/>
  <c r="P2" i="20" s="1"/>
  <c r="P3" i="20" a="1"/>
  <c r="P3" i="20" s="1"/>
  <c r="P4" i="20" a="1"/>
  <c r="P4" i="20" s="1"/>
  <c r="M2" i="18"/>
  <c r="S2" i="18" s="1" a="1"/>
  <c r="S2" i="18" s="1"/>
  <c r="N2" i="18" a="1"/>
  <c r="N2" i="18" s="1"/>
  <c r="Q2" i="18" a="1"/>
  <c r="Q2" i="18" s="1"/>
  <c r="T2" i="18" a="1"/>
  <c r="T2" i="18" s="1"/>
  <c r="L2" i="17"/>
  <c r="L3" i="17"/>
  <c r="L4" i="17"/>
  <c r="L5" i="17"/>
  <c r="N2" i="17" s="1" a="1"/>
  <c r="N2" i="17" s="1"/>
  <c r="L6" i="17"/>
  <c r="L7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S5" i="17" a="1"/>
  <c r="S5" i="17" s="1"/>
  <c r="V3" i="17" a="1"/>
  <c r="V3" i="17" s="1"/>
  <c r="G2" i="16"/>
  <c r="O4" i="20" l="1" a="1"/>
  <c r="O4" i="20" s="1"/>
  <c r="O2" i="20" a="1"/>
  <c r="O2" i="20" s="1"/>
  <c r="N3" i="20"/>
  <c r="N2" i="20"/>
  <c r="N4" i="20"/>
  <c r="P2" i="18" a="1"/>
  <c r="P2" i="18" s="1"/>
  <c r="R2" i="18"/>
  <c r="U2" i="18"/>
  <c r="O2" i="18" a="1"/>
  <c r="O2" i="18" s="1"/>
  <c r="U5" i="17" a="1"/>
  <c r="U5" i="17" s="1"/>
  <c r="R7" i="17" a="1"/>
  <c r="R7" i="17" s="1"/>
  <c r="O7" i="17" a="1"/>
  <c r="O7" i="17" s="1"/>
  <c r="T7" i="17" a="1"/>
  <c r="T7" i="17" s="1"/>
  <c r="R3" i="17" a="1"/>
  <c r="R3" i="17" s="1"/>
  <c r="O3" i="17" a="1"/>
  <c r="O3" i="17" s="1"/>
  <c r="X5" i="17" a="1"/>
  <c r="X5" i="17" s="1"/>
  <c r="V7" i="17" a="1"/>
  <c r="V7" i="17" s="1"/>
  <c r="T3" i="17" a="1"/>
  <c r="T3" i="17" s="1"/>
  <c r="N5" i="17" a="1"/>
  <c r="N5" i="17" s="1"/>
  <c r="V6" i="17" a="1"/>
  <c r="V6" i="17" s="1"/>
  <c r="U4" i="17" a="1"/>
  <c r="U4" i="17" s="1"/>
  <c r="T6" i="17" a="1"/>
  <c r="T6" i="17" s="1"/>
  <c r="T2" i="17" a="1"/>
  <c r="T2" i="17" s="1"/>
  <c r="S4" i="17" a="1"/>
  <c r="S4" i="17" s="1"/>
  <c r="R6" i="17" a="1"/>
  <c r="R6" i="17" s="1"/>
  <c r="R2" i="17" a="1"/>
  <c r="R2" i="17" s="1"/>
  <c r="O6" i="17" a="1"/>
  <c r="O6" i="17" s="1"/>
  <c r="O2" i="17" a="1"/>
  <c r="O2" i="17" s="1"/>
  <c r="N4" i="17" a="1"/>
  <c r="N4" i="17" s="1"/>
  <c r="X4" i="17" a="1"/>
  <c r="X4" i="17" s="1"/>
  <c r="V2" i="17" a="1"/>
  <c r="V2" i="17" s="1"/>
  <c r="X7" i="17" a="1"/>
  <c r="X7" i="17" s="1"/>
  <c r="X3" i="17" a="1"/>
  <c r="X3" i="17" s="1"/>
  <c r="Y3" i="17" s="1"/>
  <c r="Q3" i="17" s="1"/>
  <c r="V5" i="17" a="1"/>
  <c r="V5" i="17" s="1"/>
  <c r="U7" i="17" a="1"/>
  <c r="U7" i="17" s="1"/>
  <c r="U3" i="17" a="1"/>
  <c r="U3" i="17" s="1"/>
  <c r="T5" i="17" a="1"/>
  <c r="T5" i="17" s="1"/>
  <c r="S7" i="17" a="1"/>
  <c r="S7" i="17" s="1"/>
  <c r="S3" i="17" a="1"/>
  <c r="S3" i="17" s="1"/>
  <c r="R5" i="17" a="1"/>
  <c r="R5" i="17" s="1"/>
  <c r="O5" i="17" a="1"/>
  <c r="O5" i="17" s="1"/>
  <c r="N7" i="17" a="1"/>
  <c r="N7" i="17" s="1"/>
  <c r="N3" i="17" a="1"/>
  <c r="N3" i="17" s="1"/>
  <c r="X6" i="17" a="1"/>
  <c r="X6" i="17" s="1"/>
  <c r="X2" i="17" a="1"/>
  <c r="X2" i="17" s="1"/>
  <c r="Y2" i="17" s="1"/>
  <c r="Q2" i="17" s="1"/>
  <c r="V4" i="17" a="1"/>
  <c r="V4" i="17" s="1"/>
  <c r="U6" i="17" a="1"/>
  <c r="U6" i="17" s="1"/>
  <c r="U2" i="17" a="1"/>
  <c r="U2" i="17" s="1"/>
  <c r="T4" i="17" a="1"/>
  <c r="T4" i="17" s="1"/>
  <c r="S6" i="17" a="1"/>
  <c r="S6" i="17" s="1"/>
  <c r="S2" i="17" a="1"/>
  <c r="S2" i="17" s="1"/>
  <c r="R4" i="17" a="1"/>
  <c r="R4" i="17" s="1"/>
  <c r="O4" i="17" a="1"/>
  <c r="O4" i="17" s="1"/>
  <c r="N6" i="17" a="1"/>
  <c r="N6" i="17" s="1"/>
  <c r="Y4" i="17"/>
  <c r="W4" i="17"/>
  <c r="W7" i="17"/>
  <c r="Y7" i="17"/>
  <c r="Q7" i="17" s="1"/>
  <c r="W3" i="17"/>
  <c r="Y6" i="17"/>
  <c r="W6" i="17"/>
  <c r="W2" i="17"/>
  <c r="Y5" i="17"/>
  <c r="Q5" i="17" s="1"/>
  <c r="W5" i="17"/>
  <c r="Q4" i="17" l="1"/>
  <c r="Q6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f:\05_02_computer_simulation_cs312_lab\0000_cs312_computer_simulation\cs\lab reports\lab_11_(to provide plan for car maintenance through simulation)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f:\05_02_computer_simulation_cs312_lab\0000_cs312_computer_simulation\cs\lab reports\lab_11_(to provide plan for car maintenance through simulation)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f:\05_02_computer_simulation_cs312_lab\0000_cs312_computer_simulation\cs\lab reports\lab_11_(to provide plan for car maintenance through simulation)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f:\05_02_computer_simulation_cs312_lab\0000_cs312_computer_simulation\cs\lab reports\lab_11_(to provide plan for car maintenance through simulation)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f:\05_02_computer_simulation_cs312_lab\0000_cs312_computer_simulation\cs\lab reports\lab_11_(to provide plan for car maintenance through simulation)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f:\05_02_computer_simulation_cs312_lab\0000_cs312_computer_simulation\cs\lab reports\lab_11_(to provide plan for car maintenance through simulation).db;StepAPI=;SyncPragma=;NoTXN=;Timeout=;ShortNames=;LongNames=;NoCreat=;NoWCHAR=;FKSupport=;JournalMode=;OEMCP=;LoadExt=;BigInt=;JDConv=;" command="select * from OutputStatsQuery"/>
  </connection>
</connections>
</file>

<file path=xl/sharedStrings.xml><?xml version="1.0" encoding="utf-8"?>
<sst xmlns="http://schemas.openxmlformats.org/spreadsheetml/2006/main" count="243" uniqueCount="86">
  <si>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</si>
  <si>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</si>
  <si>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</si>
  <si>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</si>
  <si>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</si>
  <si>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</si>
  <si>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</si>
  <si>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</si>
  <si>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</si>
  <si>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</si>
  <si>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</si>
  <si>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</si>
  <si>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</si>
  <si>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</si>
  <si>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</si>
  <si>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</si>
  <si>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</si>
  <si>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</si>
  <si>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</si>
  <si>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</si>
  <si>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</si>
  <si>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</si>
  <si>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</si>
  <si>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</si>
  <si>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</si>
  <si>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</si>
  <si>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</si>
  <si>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</si>
  <si>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</si>
  <si>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</si>
  <si>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</si>
  <si>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</si>
  <si>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</si>
  <si>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</si>
  <si>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</si>
  <si>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</si>
  <si>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</si>
  <si>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</si>
  <si>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</si>
  <si>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</si>
  <si>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</si>
  <si>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</si>
  <si>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</si>
  <si>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</si>
  <si>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</si>
  <si>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</si>
  <si>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</si>
  <si>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</si>
  <si>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</si>
  <si>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</si>
  <si>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</si>
  <si>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</si>
  <si>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</si>
  <si>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</si>
  <si>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</si>
  <si>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</si>
  <si>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</si>
  <si>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</si>
  <si>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</si>
  <si>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</si>
  <si>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</si>
  <si>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</si>
  <si>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</si>
  <si>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</si>
  <si>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</si>
  <si>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</si>
  <si>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</si>
  <si>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</si>
  <si>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</si>
  <si>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F:\05_02_Computer_Simulation_CS312_Lab\0000_CS312_Computer_Simulation\CS\Lab Reports\Lab_11_(To provide plan for car maintenance through simulation).p</t>
  </si>
  <si>
    <t>2025-01-08 09:54:12</t>
  </si>
  <si>
    <t>CAR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</si>
  <si>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</si>
  <si>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</si>
  <si>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</si>
  <si>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</si>
  <si>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</si>
  <si>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</si>
  <si>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</si>
  <si>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WIP</t>
  </si>
  <si>
    <t>CAR.NumberIn</t>
  </si>
  <si>
    <t>Number In</t>
  </si>
  <si>
    <t>CAR.NumberOut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</si>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</sst>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665.413016550927" createdVersion="7" refreshedVersion="8" minRefreshableVersion="3" recordCount="3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1">
        <s v="CAR.NumberIn"/>
        <s v="CAR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Entity"/>
        <s v="System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126" maxValue="18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126" maxValue="184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126" maxValue="184"/>
    </cacheField>
    <cacheField name="Maximum" numFmtId="0">
      <sharedItems containsSemiMixedTypes="0" containsString="0" containsNumber="1" containsInteger="1" minValue="126" maxValue="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665.41301666666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665.413017129627" createdVersion="7" refreshedVersion="8" minRefreshableVersion="3" recordCount="1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5">
        <s v="CAR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m u="1"/>
        <s v="Number Scheduled" u="1"/>
        <s v="Number Busy" u="1"/>
        <s v="Levels" u="1"/>
        <s v="Instantaneous Utilization" u="1"/>
        <s v="Number Waiting" u="1"/>
      </sharedItems>
    </cacheField>
    <cacheField name="Source" numFmtId="0">
      <sharedItems containsBlank="1" count="5">
        <s v="Entity"/>
        <m u="1"/>
        <s v="Queue" u="1"/>
        <s v="Resource" u="1"/>
        <s v="User Specified" u="1"/>
      </sharedItems>
    </cacheField>
    <cacheField name="Average" numFmtId="0">
      <sharedItems containsSemiMixedTypes="0" containsString="0" containsNumber="1" minValue="3.28407620095772" maxValue="3.2840762009577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8" maxValue="8"/>
    </cacheField>
    <cacheField name="LastRecordedValue" numFmtId="0">
      <sharedItems containsSemiMixedTypes="0" containsString="0" containsNumber="1" containsInteger="1" minValue="7" maxValue="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3.28407620095772" maxValue="3.2840762009577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3.28407620095772" maxValue="3.28407620095772"/>
    </cacheField>
    <cacheField name="MaximumAverage" numFmtId="0">
      <sharedItems containsSemiMixedTypes="0" containsString="0" containsNumber="1" minValue="3.28407620095772" maxValue="3.28407620095772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665.413017361112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uBakarAtiq" refreshedDate="45665.413017592589" createdVersion="7" refreshedVersion="8" minRefreshableVersion="3" recordCount="6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0">
        <s v="CAR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  <s v="Waiting Time" u="1"/>
      </sharedItems>
    </cacheField>
    <cacheField name="Source" numFmtId="0">
      <sharedItems containsBlank="1" count="5">
        <s v="Entity"/>
        <m u="1"/>
        <s v="Queue" u="1"/>
        <s v="Process" u="1"/>
        <s v="User Specified" u="1"/>
      </sharedItems>
    </cacheField>
    <cacheField name="Average" numFmtId="0">
      <sharedItems containsSemiMixedTypes="0" containsString="0" containsNumber="1" minValue="0" maxValue="2.70323610679339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.4512699729251299"/>
    </cacheField>
    <cacheField name="Maximum" numFmtId="0">
      <sharedItems containsSemiMixedTypes="0" containsString="0" containsNumber="1" minValue="0" maxValue="3.8340017503696799"/>
    </cacheField>
    <cacheField name="NumberObservations" numFmtId="0">
      <sharedItems containsSemiMixedTypes="0" containsString="0" containsNumber="1" containsInteger="1" minValue="184" maxValue="184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2.70323610679339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2.7032361067933999"/>
    </cacheField>
    <cacheField name="MaximumAverage" numFmtId="0">
      <sharedItems containsSemiMixedTypes="0" containsString="0" containsNumber="1" minValue="0" maxValue="2.7032361067933999"/>
    </cacheField>
    <cacheField name="OverallMinimum" numFmtId="0">
      <sharedItems containsSemiMixedTypes="0" containsString="0" containsNumber="1" minValue="0" maxValue="1.4512699729251299"/>
    </cacheField>
    <cacheField name="OverallMaximum" numFmtId="0">
      <sharedItems containsSemiMixedTypes="0" containsString="0" containsNumber="1" minValue="0" maxValue="3.8340017503696799"/>
    </cacheField>
    <cacheField name="AverageNumberObservations" numFmtId="0">
      <sharedItems containsSemiMixedTypes="0" containsString="0" containsNumber="1" containsInteger="1" minValue="184" maxValue="184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s v="2025-01-08 09:54:12"/>
    <n v="1"/>
    <x v="0"/>
    <x v="0"/>
    <x v="0"/>
    <n v="133"/>
    <n v="0"/>
    <s v="Unnamed ProjectCAR.NumberInNumber InEntity"/>
    <n v="1"/>
    <n v="133"/>
    <n v="0"/>
    <n v="0.95"/>
    <n v="4E+20"/>
    <n v="133"/>
    <n v="133"/>
  </r>
  <r>
    <x v="0"/>
    <s v="2025-01-08 09:54:12"/>
    <n v="1"/>
    <x v="1"/>
    <x v="1"/>
    <x v="0"/>
    <n v="126"/>
    <n v="0"/>
    <s v="Unnamed ProjectCAR.NumberOutNumber OutEntity"/>
    <n v="1"/>
    <n v="126"/>
    <n v="0"/>
    <n v="0.95"/>
    <n v="4E+20"/>
    <n v="126"/>
    <n v="126"/>
  </r>
  <r>
    <x v="0"/>
    <s v="2025-01-08 09:54:12"/>
    <n v="1"/>
    <x v="2"/>
    <x v="1"/>
    <x v="1"/>
    <n v="184"/>
    <n v="0"/>
    <s v="Unnamed ProjectSystem.NumberOutNumber OutSystem"/>
    <n v="1"/>
    <n v="184"/>
    <n v="0"/>
    <n v="0.95"/>
    <n v="4E+20"/>
    <n v="184"/>
    <n v="18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2025-01-08 09:54:12"/>
    <n v="1"/>
    <x v="0"/>
    <x v="0"/>
    <x v="0"/>
    <n v="3.28407620095772"/>
    <n v="2E+20"/>
    <n v="0"/>
    <n v="8"/>
    <n v="7"/>
    <n v="0"/>
    <s v="Unnamed ProjectCARWIPEntity"/>
    <n v="1"/>
    <n v="3.28407620095772"/>
    <n v="0"/>
    <n v="0.95"/>
    <n v="4E+20"/>
    <n v="3.28407620095772"/>
    <n v="3.28407620095772"/>
    <n v="2E+2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s v="2025-01-08 09:54:12"/>
    <n v="1"/>
    <x v="0"/>
    <x v="0"/>
    <x v="0"/>
    <n v="0"/>
    <n v="2E+20"/>
    <n v="0"/>
    <n v="0"/>
    <n v="184"/>
    <s v="Unnamed ProjectCARNVA TimeEntity"/>
    <n v="1"/>
    <n v="0"/>
    <n v="0"/>
    <n v="0.95"/>
    <n v="4E+20"/>
    <n v="0"/>
    <n v="0"/>
    <n v="0"/>
    <n v="0"/>
    <n v="184"/>
    <n v="2E+20"/>
    <n v="1"/>
    <n v="1"/>
  </r>
  <r>
    <x v="0"/>
    <s v="2025-01-08 09:54:12"/>
    <n v="1"/>
    <x v="0"/>
    <x v="1"/>
    <x v="0"/>
    <n v="0"/>
    <n v="2E+20"/>
    <n v="0"/>
    <n v="0"/>
    <n v="184"/>
    <s v="Unnamed ProjectCAROther TimeEntity"/>
    <n v="1"/>
    <n v="0"/>
    <n v="0"/>
    <n v="0.95"/>
    <n v="4E+20"/>
    <n v="0"/>
    <n v="0"/>
    <n v="0"/>
    <n v="0"/>
    <n v="184"/>
    <n v="2E+20"/>
    <n v="1"/>
    <n v="1"/>
  </r>
  <r>
    <x v="0"/>
    <s v="2025-01-08 09:54:12"/>
    <n v="1"/>
    <x v="0"/>
    <x v="2"/>
    <x v="0"/>
    <n v="2.7032361067933999"/>
    <n v="2E+20"/>
    <n v="1.4512699729251299"/>
    <n v="3.8340017503696799"/>
    <n v="184"/>
    <s v="Unnamed ProjectCARTotal TimeEntity"/>
    <n v="1"/>
    <n v="2.7032361067933999"/>
    <n v="0"/>
    <n v="0.95"/>
    <n v="4E+20"/>
    <n v="2.7032361067933999"/>
    <n v="2.7032361067933999"/>
    <n v="1.4512699729251299"/>
    <n v="3.8340017503696799"/>
    <n v="184"/>
    <n v="2E+20"/>
    <n v="1"/>
    <n v="1"/>
  </r>
  <r>
    <x v="0"/>
    <s v="2025-01-08 09:54:12"/>
    <n v="1"/>
    <x v="0"/>
    <x v="3"/>
    <x v="0"/>
    <n v="0"/>
    <n v="2E+20"/>
    <n v="0"/>
    <n v="0"/>
    <n v="184"/>
    <s v="Unnamed ProjectCARTransfer TimeEntity"/>
    <n v="1"/>
    <n v="0"/>
    <n v="0"/>
    <n v="0.95"/>
    <n v="4E+20"/>
    <n v="0"/>
    <n v="0"/>
    <n v="0"/>
    <n v="0"/>
    <n v="184"/>
    <n v="2E+20"/>
    <n v="1"/>
    <n v="1"/>
  </r>
  <r>
    <x v="0"/>
    <s v="2025-01-08 09:54:12"/>
    <n v="1"/>
    <x v="0"/>
    <x v="4"/>
    <x v="0"/>
    <n v="2.0741962692904399"/>
    <n v="2E+20"/>
    <n v="0.56624313776447399"/>
    <n v="3.8340017503696799"/>
    <n v="184"/>
    <s v="Unnamed ProjectCARVA TimeEntity"/>
    <n v="1"/>
    <n v="2.0741962692904399"/>
    <n v="0"/>
    <n v="0.95"/>
    <n v="4E+20"/>
    <n v="2.0741962692904399"/>
    <n v="2.0741962692904399"/>
    <n v="0.56624313776447399"/>
    <n v="3.8340017503696799"/>
    <n v="184"/>
    <n v="2E+20"/>
    <n v="1"/>
    <n v="1"/>
  </r>
  <r>
    <x v="0"/>
    <s v="2025-01-08 09:54:12"/>
    <n v="1"/>
    <x v="0"/>
    <x v="5"/>
    <x v="0"/>
    <n v="0"/>
    <n v="2E+20"/>
    <n v="0"/>
    <n v="0"/>
    <n v="184"/>
    <s v="Unnamed ProjectCARWait TimeEntity"/>
    <n v="1"/>
    <n v="0"/>
    <n v="0"/>
    <n v="0.95"/>
    <n v="4E+20"/>
    <n v="0"/>
    <n v="0"/>
    <n v="0"/>
    <n v="0"/>
    <n v="184"/>
    <n v="2E+20"/>
    <n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1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8"/>
        <item m="1" x="4"/>
        <item m="1" x="29"/>
        <item m="1" x="5"/>
        <item m="1" x="30"/>
        <item m="1" x="6"/>
        <item m="1" x="31"/>
        <item m="1" x="7"/>
        <item m="1" x="63"/>
        <item m="1" x="18"/>
        <item x="2"/>
        <item m="1" x="62"/>
        <item m="1" x="49"/>
        <item m="1" x="66"/>
        <item m="1" x="51"/>
        <item m="1" x="67"/>
        <item m="1" x="74"/>
        <item m="1" x="43"/>
        <item m="1" x="11"/>
        <item m="1" x="60"/>
        <item m="1" x="50"/>
        <item m="1" x="48"/>
        <item m="1" x="14"/>
        <item m="1" x="58"/>
        <item m="1" x="23"/>
        <item m="1" x="59"/>
        <item m="1" x="24"/>
        <item m="1" x="57"/>
        <item m="1" x="77"/>
        <item m="1" x="17"/>
        <item m="1" x="80"/>
        <item m="1" x="45"/>
        <item m="1" x="12"/>
        <item m="1" x="75"/>
        <item m="1" x="70"/>
        <item m="1" x="46"/>
        <item m="1" x="13"/>
        <item m="1" x="76"/>
        <item m="1" x="71"/>
        <item m="1" x="8"/>
        <item m="1" x="42"/>
        <item m="1" x="26"/>
        <item m="1" x="16"/>
        <item m="1" x="68"/>
        <item m="1" x="38"/>
        <item m="1" x="69"/>
        <item m="1" x="39"/>
        <item m="1" x="25"/>
        <item m="1" x="20"/>
        <item m="1" x="47"/>
        <item m="1" x="22"/>
        <item m="1" x="79"/>
        <item m="1" x="72"/>
        <item m="1" x="21"/>
        <item m="1" x="19"/>
        <item m="1" x="64"/>
        <item m="1" x="73"/>
        <item m="1" x="9"/>
        <item m="1" x="27"/>
        <item m="1" x="40"/>
        <item m="1" x="61"/>
        <item m="1" x="78"/>
        <item m="1" x="10"/>
        <item m="1" x="37"/>
        <item m="1" x="41"/>
        <item m="1" x="65"/>
        <item m="1" x="44"/>
        <item m="1" x="15"/>
        <item m="1" x="32"/>
        <item m="1" x="52"/>
        <item m="1" x="33"/>
        <item m="1" x="53"/>
        <item m="1" x="34"/>
        <item m="1" x="54"/>
        <item m="1" x="35"/>
        <item m="1" x="55"/>
        <item m="1" x="36"/>
        <item m="1" x="56"/>
        <item m="1" x="3"/>
        <item x="0"/>
        <item x="1"/>
      </items>
    </pivotField>
    <pivotField axis="axisRow" compact="0" outline="0" showAll="0" defaultSubtotal="0">
      <items count="7">
        <item x="0"/>
        <item x="1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0"/>
        <item m="1" x="3"/>
        <item x="1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10"/>
      <x v="1"/>
      <x v="2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2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3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5">
        <item m="1" x="16"/>
        <item m="1" x="7"/>
        <item m="1" x="23"/>
        <item m="1" x="32"/>
        <item m="1" x="45"/>
        <item m="1" x="44"/>
        <item m="1" x="8"/>
        <item m="1" x="109"/>
        <item m="1" x="87"/>
        <item m="1" x="50"/>
        <item m="1" x="37"/>
        <item m="1" x="41"/>
        <item m="1" x="123"/>
        <item m="1" x="26"/>
        <item m="1" x="108"/>
        <item m="1" x="30"/>
        <item m="1" x="81"/>
        <item m="1" x="95"/>
        <item m="1" x="5"/>
        <item m="1" x="31"/>
        <item m="1" x="118"/>
        <item m="1" x="20"/>
        <item m="1" x="110"/>
        <item m="1" x="9"/>
        <item m="1" x="36"/>
        <item m="1" x="62"/>
        <item m="1" x="6"/>
        <item m="1" x="12"/>
        <item m="1" x="82"/>
        <item m="1" x="63"/>
        <item m="1" x="97"/>
        <item m="1" x="53"/>
        <item m="1" x="17"/>
        <item m="1" x="47"/>
        <item m="1" x="83"/>
        <item m="1" x="68"/>
        <item m="1" x="18"/>
        <item m="1" x="28"/>
        <item m="1" x="90"/>
        <item m="1" x="4"/>
        <item m="1" x="117"/>
        <item m="1" x="75"/>
        <item m="1" x="15"/>
        <item m="1" x="100"/>
        <item m="1" x="46"/>
        <item m="1" x="119"/>
        <item m="1" x="80"/>
        <item m="1" x="22"/>
        <item m="1" x="67"/>
        <item m="1" x="86"/>
        <item m="1" x="99"/>
        <item m="1" x="107"/>
        <item m="1" x="116"/>
        <item m="1" x="3"/>
        <item m="1" x="21"/>
        <item m="1" x="35"/>
        <item m="1" x="24"/>
        <item m="1" x="2"/>
        <item m="1" x="96"/>
        <item m="1" x="113"/>
        <item m="1" x="39"/>
        <item m="1" x="74"/>
        <item m="1" x="27"/>
        <item m="1" x="48"/>
        <item m="1" x="33"/>
        <item m="1" x="57"/>
        <item m="1" x="42"/>
        <item m="1" x="64"/>
        <item m="1" x="49"/>
        <item m="1" x="76"/>
        <item m="1" x="58"/>
        <item m="1" x="84"/>
        <item m="1" x="65"/>
        <item m="1" x="93"/>
        <item m="1" x="77"/>
        <item m="1" x="98"/>
        <item m="1" x="85"/>
        <item m="1" x="102"/>
        <item m="1" x="114"/>
        <item m="1" x="104"/>
        <item m="1" x="88"/>
        <item m="1" x="61"/>
        <item m="1" x="40"/>
        <item m="1" x="55"/>
        <item m="1" x="19"/>
        <item m="1" x="25"/>
        <item m="1" x="34"/>
        <item m="1" x="38"/>
        <item m="1" x="70"/>
        <item m="1" x="115"/>
        <item m="1" x="105"/>
        <item m="1" x="89"/>
        <item m="1" x="56"/>
        <item m="1" x="124"/>
        <item m="1" x="72"/>
        <item m="1" x="60"/>
        <item m="1" x="92"/>
        <item m="1" x="73"/>
        <item m="1" x="52"/>
        <item m="1" x="59"/>
        <item m="1" x="13"/>
        <item m="1" x="78"/>
        <item m="1" x="94"/>
        <item m="1" x="103"/>
        <item m="1" x="111"/>
        <item m="1" x="122"/>
        <item m="1" x="10"/>
        <item m="1" x="29"/>
        <item m="1" x="121"/>
        <item m="1" x="11"/>
        <item m="1" x="79"/>
        <item m="1" x="54"/>
        <item m="1" x="69"/>
        <item m="1" x="14"/>
        <item m="1" x="120"/>
        <item m="1" x="101"/>
        <item m="1" x="51"/>
        <item m="1" x="112"/>
        <item m="1" x="71"/>
        <item m="1" x="91"/>
        <item m="1" x="106"/>
        <item m="1" x="43"/>
        <item m="1" x="66"/>
        <item m="1" x="1"/>
        <item x="0"/>
      </items>
    </pivotField>
    <pivotField axis="axisRow" compact="0" outline="0" showAll="0" defaultSubtotal="0">
      <items count="7">
        <item m="1" x="5"/>
        <item m="1" x="3"/>
        <item m="1" x="2"/>
        <item m="1" x="6"/>
        <item x="0"/>
        <item m="1" x="4"/>
        <item m="1" x="1"/>
      </items>
    </pivotField>
    <pivotField axis="axisRow" compact="0" outline="0" showAll="0" defaultSubtotal="0">
      <items count="5">
        <item x="0"/>
        <item m="1" x="2"/>
        <item m="1" x="3"/>
        <item m="1" x="4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3"/>
      <x v="124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3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4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8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1"/>
        <item m="1" x="34"/>
        <item m="1" x="6"/>
        <item m="1" x="86"/>
        <item m="1" x="69"/>
        <item m="1" x="39"/>
        <item m="1" x="95"/>
        <item m="1" x="27"/>
        <item m="1" x="31"/>
        <item m="1" x="98"/>
        <item m="1" x="64"/>
        <item m="1" x="76"/>
        <item m="1" x="81"/>
        <item m="1" x="5"/>
        <item m="1" x="33"/>
        <item m="1" x="23"/>
        <item m="1" x="99"/>
        <item m="1" x="93"/>
        <item m="1" x="21"/>
        <item m="1" x="15"/>
        <item m="1" x="87"/>
        <item m="1" x="7"/>
        <item m="1" x="40"/>
        <item m="1" x="26"/>
        <item m="1" x="51"/>
        <item m="1" x="78"/>
        <item m="1" x="42"/>
        <item m="1" x="12"/>
        <item m="1" x="36"/>
        <item m="1" x="65"/>
        <item m="1" x="55"/>
        <item m="1" x="13"/>
        <item m="1" x="72"/>
        <item m="1" x="4"/>
        <item m="1" x="92"/>
        <item m="1" x="60"/>
        <item m="1" x="80"/>
        <item m="1" x="35"/>
        <item m="1" x="94"/>
        <item m="1" x="63"/>
        <item m="1" x="17"/>
        <item m="1" x="54"/>
        <item m="1" x="68"/>
        <item m="1" x="79"/>
        <item m="1" x="85"/>
        <item m="1" x="3"/>
        <item m="1" x="16"/>
        <item m="1" x="25"/>
        <item m="1" x="18"/>
        <item m="1" x="2"/>
        <item m="1" x="77"/>
        <item m="1" x="89"/>
        <item m="1" x="29"/>
        <item m="1" x="59"/>
        <item m="1" x="20"/>
        <item m="1" x="37"/>
        <item m="1" x="24"/>
        <item m="1" x="45"/>
        <item m="1" x="32"/>
        <item m="1" x="52"/>
        <item m="1" x="38"/>
        <item m="1" x="61"/>
        <item m="1" x="46"/>
        <item m="1" x="66"/>
        <item m="1" x="53"/>
        <item m="1" x="74"/>
        <item m="1" x="67"/>
        <item m="1" x="82"/>
        <item m="1" x="90"/>
        <item m="1" x="70"/>
        <item m="1" x="49"/>
        <item m="1" x="30"/>
        <item m="1" x="43"/>
        <item m="1" x="14"/>
        <item m="1" x="19"/>
        <item m="1" x="28"/>
        <item m="1" x="56"/>
        <item m="1" x="91"/>
        <item m="1" x="84"/>
        <item m="1" x="71"/>
        <item m="1" x="44"/>
        <item m="1" x="57"/>
        <item m="1" x="48"/>
        <item m="1" x="73"/>
        <item m="1" x="58"/>
        <item m="1" x="41"/>
        <item m="1" x="47"/>
        <item m="1" x="10"/>
        <item m="1" x="50"/>
        <item m="1" x="62"/>
        <item m="1" x="75"/>
        <item m="1" x="83"/>
        <item m="1" x="88"/>
        <item m="1" x="97"/>
        <item m="1" x="8"/>
        <item m="1" x="22"/>
        <item m="1" x="96"/>
        <item m="1" x="9"/>
        <item m="1" x="1"/>
        <item x="0"/>
      </items>
    </pivotField>
    <pivotField axis="axisRow" compact="0" outline="0" showAll="0" defaultSubtotal="0">
      <items count="12">
        <item m="1" x="10"/>
        <item x="0"/>
        <item x="1"/>
        <item x="2"/>
        <item x="3"/>
        <item x="4"/>
        <item x="5"/>
        <item m="1" x="11"/>
        <item m="1" x="7"/>
        <item m="1" x="8"/>
        <item m="1" x="9"/>
        <item m="1" x="6"/>
      </items>
    </pivotField>
    <pivotField axis="axisRow" compact="0" outline="0" showAll="0" defaultSubtotal="0">
      <items count="5">
        <item x="0"/>
        <item m="1" x="2"/>
        <item m="1" x="4"/>
        <item m="1" x="3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6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7" tableType="queryTable" totalsRowShown="0">
  <autoFilter ref="A1:Y7" xr:uid="{C3D003CA-1AFF-426C-A03D-D3AF5760DF1A}"/>
  <sortState xmlns:xlrd2="http://schemas.microsoft.com/office/spreadsheetml/2017/richdata2" ref="A2:Y7">
    <sortCondition ref="D1:D7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" tableType="queryTable" totalsRowShown="0">
  <autoFilter ref="A1:U2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4" tableType="queryTable" totalsRowShown="0">
  <autoFilter ref="A1:P4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.4" x14ac:dyDescent="0.3"/>
  <cols>
    <col min="1" max="1" width="15.21875" bestFit="1" customWidth="1"/>
    <col min="2" max="2" width="80.88671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67</v>
      </c>
      <c r="B2" t="s">
        <v>69</v>
      </c>
      <c r="C2" t="s">
        <v>70</v>
      </c>
      <c r="D2">
        <v>3</v>
      </c>
      <c r="E2">
        <v>1</v>
      </c>
      <c r="F2">
        <v>120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8"/>
  <sheetViews>
    <sheetView tabSelected="1" workbookViewId="0"/>
  </sheetViews>
  <sheetFormatPr defaultRowHeight="14.4" x14ac:dyDescent="0.3"/>
  <cols>
    <col min="1" max="1" width="33.3320312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0.109375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0.109375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0.109375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33203125" bestFit="1" customWidth="1"/>
    <col min="56" max="56" width="31.88671875" bestFit="1" customWidth="1"/>
    <col min="57" max="57" width="21.664062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67</v>
      </c>
      <c r="B3" t="s">
        <v>71</v>
      </c>
      <c r="C3" t="s">
        <v>72</v>
      </c>
      <c r="D3" t="s">
        <v>73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184</v>
      </c>
      <c r="O3" t="s">
        <v>67</v>
      </c>
      <c r="P3" t="s">
        <v>71</v>
      </c>
      <c r="Q3" t="s">
        <v>79</v>
      </c>
      <c r="R3" t="s">
        <v>73</v>
      </c>
      <c r="S3" s="5">
        <v>3.28407620095772</v>
      </c>
      <c r="T3" s="5">
        <v>2E+20</v>
      </c>
      <c r="U3" s="5">
        <v>0</v>
      </c>
      <c r="V3" s="5">
        <v>3.28407620095772</v>
      </c>
      <c r="W3" s="5">
        <v>3.28407620095772</v>
      </c>
      <c r="X3" s="5">
        <v>0</v>
      </c>
      <c r="Y3" s="5">
        <v>8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84</v>
      </c>
      <c r="AM3" t="s">
        <v>83</v>
      </c>
      <c r="AN3" t="s">
        <v>85</v>
      </c>
      <c r="AO3" s="5">
        <v>184</v>
      </c>
      <c r="AP3" s="5">
        <v>4E+20</v>
      </c>
      <c r="AQ3" s="5">
        <v>0</v>
      </c>
      <c r="AR3" s="5">
        <v>184</v>
      </c>
      <c r="AS3" s="5">
        <v>184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3">
      <c r="C4" t="s">
        <v>74</v>
      </c>
      <c r="D4" t="s">
        <v>73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184</v>
      </c>
      <c r="AL4" t="s">
        <v>80</v>
      </c>
      <c r="AM4" t="s">
        <v>81</v>
      </c>
      <c r="AN4" t="s">
        <v>73</v>
      </c>
      <c r="AO4" s="5">
        <v>133</v>
      </c>
      <c r="AP4" s="5">
        <v>4E+20</v>
      </c>
      <c r="AQ4" s="5">
        <v>0</v>
      </c>
      <c r="AR4" s="5">
        <v>133</v>
      </c>
      <c r="AS4" s="5">
        <v>133</v>
      </c>
    </row>
    <row r="5" spans="1:52" x14ac:dyDescent="0.3">
      <c r="C5" t="s">
        <v>75</v>
      </c>
      <c r="D5" t="s">
        <v>73</v>
      </c>
      <c r="E5" s="5">
        <v>2.7032361067933999</v>
      </c>
      <c r="F5" s="5">
        <v>1</v>
      </c>
      <c r="G5" s="5">
        <v>2E+20</v>
      </c>
      <c r="H5" s="5">
        <v>0</v>
      </c>
      <c r="I5" s="5">
        <v>2.7032361067933999</v>
      </c>
      <c r="J5" s="5">
        <v>2.7032361067933999</v>
      </c>
      <c r="K5" s="5">
        <v>1.4512699729251299</v>
      </c>
      <c r="L5" s="5">
        <v>3.8340017503696799</v>
      </c>
      <c r="M5" s="5">
        <v>184</v>
      </c>
      <c r="AL5" t="s">
        <v>82</v>
      </c>
      <c r="AM5" t="s">
        <v>83</v>
      </c>
      <c r="AN5" t="s">
        <v>73</v>
      </c>
      <c r="AO5" s="5">
        <v>126</v>
      </c>
      <c r="AP5" s="5">
        <v>4E+20</v>
      </c>
      <c r="AQ5" s="5">
        <v>0</v>
      </c>
      <c r="AR5" s="5">
        <v>126</v>
      </c>
      <c r="AS5" s="5">
        <v>126</v>
      </c>
    </row>
    <row r="6" spans="1:52" x14ac:dyDescent="0.3">
      <c r="C6" t="s">
        <v>76</v>
      </c>
      <c r="D6" t="s">
        <v>73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184</v>
      </c>
    </row>
    <row r="7" spans="1:52" x14ac:dyDescent="0.3">
      <c r="C7" t="s">
        <v>77</v>
      </c>
      <c r="D7" t="s">
        <v>73</v>
      </c>
      <c r="E7" s="5">
        <v>2.0741962692904399</v>
      </c>
      <c r="F7" s="5">
        <v>1</v>
      </c>
      <c r="G7" s="5">
        <v>2E+20</v>
      </c>
      <c r="H7" s="5">
        <v>0</v>
      </c>
      <c r="I7" s="5">
        <v>2.0741962692904399</v>
      </c>
      <c r="J7" s="5">
        <v>2.0741962692904399</v>
      </c>
      <c r="K7" s="5">
        <v>0.56624313776447399</v>
      </c>
      <c r="L7" s="5">
        <v>3.8340017503696799</v>
      </c>
      <c r="M7" s="5">
        <v>184</v>
      </c>
    </row>
    <row r="8" spans="1:52" x14ac:dyDescent="0.3">
      <c r="C8" t="s">
        <v>78</v>
      </c>
      <c r="D8" t="s">
        <v>73</v>
      </c>
      <c r="E8" s="5">
        <v>0</v>
      </c>
      <c r="F8" s="5">
        <v>1</v>
      </c>
      <c r="G8" s="5">
        <v>2E+20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184</v>
      </c>
    </row>
  </sheetData>
  <dataConsolidate/>
  <conditionalFormatting pivot="1" sqref="G3:G8">
    <cfRule type="expression" dxfId="31" priority="14">
      <formula>G3=200000000000000000000</formula>
    </cfRule>
  </conditionalFormatting>
  <conditionalFormatting pivot="1" sqref="T3">
    <cfRule type="expression" dxfId="30" priority="13">
      <formula>T3=200000000000000000000</formula>
    </cfRule>
  </conditionalFormatting>
  <conditionalFormatting pivot="1" sqref="T3">
    <cfRule type="expression" dxfId="29" priority="12">
      <formula>T3=300000000000000000000</formula>
    </cfRule>
  </conditionalFormatting>
  <conditionalFormatting pivot="1" sqref="G3:G8">
    <cfRule type="expression" dxfId="28" priority="11">
      <formula>G3=300000000000000000000</formula>
    </cfRule>
  </conditionalFormatting>
  <conditionalFormatting pivot="1" sqref="F3:F8">
    <cfRule type="expression" dxfId="27" priority="10">
      <formula>F3=0</formula>
    </cfRule>
  </conditionalFormatting>
  <conditionalFormatting pivot="1" sqref="F3:F8">
    <cfRule type="expression" dxfId="26" priority="9">
      <formula>F3=1</formula>
    </cfRule>
  </conditionalFormatting>
  <conditionalFormatting pivot="1" sqref="T3">
    <cfRule type="expression" dxfId="25" priority="8">
      <formula>T3=400000000000000000000</formula>
    </cfRule>
  </conditionalFormatting>
  <conditionalFormatting pivot="1" sqref="AP3:AP5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8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7"/>
  <sheetViews>
    <sheetView workbookViewId="0">
      <selection activeCell="A2" sqref="A2:K6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2.21875" bestFit="1" customWidth="1"/>
    <col min="6" max="6" width="9" bestFit="1" customWidth="1"/>
    <col min="7" max="7" width="12" bestFit="1" customWidth="1"/>
    <col min="8" max="8" width="22.33203125" bestFit="1" customWidth="1"/>
    <col min="9" max="9" width="12" bestFit="1" customWidth="1"/>
    <col min="10" max="10" width="11.77734375" bestFit="1" customWidth="1"/>
    <col min="11" max="11" width="21.33203125" bestFit="1" customWidth="1"/>
    <col min="12" max="12" width="3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1.6640625" bestFit="1" customWidth="1"/>
    <col min="18" max="18" width="18.44140625" bestFit="1" customWidth="1"/>
    <col min="19" max="19" width="18.77734375" bestFit="1" customWidth="1"/>
    <col min="20" max="20" width="17.44140625" customWidth="1"/>
    <col min="21" max="21" width="17.77734375" bestFit="1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2E+20</v>
      </c>
      <c r="I2">
        <v>0</v>
      </c>
      <c r="J2">
        <v>0</v>
      </c>
      <c r="K2">
        <v>184</v>
      </c>
      <c r="L2" t="str">
        <f>DiscreteStatsTable[[#This Row],[ProjectName]]&amp;DiscreteStatsTable[[#This Row],[Name]]&amp;DiscreteStatsTable[[#This Row],[Type]]&amp;DiscreteStatsTable[[#This Row],[Source]]</f>
        <v>Unnamed ProjectCARNVA TimeEntity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>
        <f t="array" ref="R2">MIN(IF((DiscreteStatsTable[GroupByKey]=DiscreteStatsTable[[#This Row],[GroupByKey]]),(DiscreteStatsTable[GroupByKey]=DiscreteStatsTable[[#This Row],[GroupByKey]])*DiscreteStatsTable[Average]))</f>
        <v>0</v>
      </c>
      <c r="S2">
        <f t="array" ref="S2">MAX(IF((DiscreteStatsTable[GroupByKey]=DiscreteStatsTable[[#This Row],[GroupByKey]]),(DiscreteStatsTable[GroupByKey]=DiscreteStatsTable[[#This Row],[GroupByKey]])*DiscreteStatsTable[Average]))</f>
        <v>0</v>
      </c>
      <c r="T2">
        <f t="array" ref="T2">MIN(IF((DiscreteStatsTable[GroupByKey]=DiscreteStatsTable[[#This Row],[GroupByKey]]),(DiscreteStatsTable[GroupByKey]=DiscreteStatsTable[[#This Row],[GroupByKey]])*DiscreteStatsTable[Minimum]))</f>
        <v>0</v>
      </c>
      <c r="U2">
        <f t="array" ref="U2">MAX(IF((DiscreteStatsTable[GroupByKey]=DiscreteStatsTable[[#This Row],[GroupByKey]]),(DiscreteStatsTable[GroupByKey]=DiscreteStatsTable[[#This Row],[GroupByKey]])*DiscreteStatsTable[Maximum]))</f>
        <v>0</v>
      </c>
      <c r="V2">
        <f t="array" ref="V2">IFERROR(AVERAGE(IF((DiscreteStatsTable[GroupByKey]=DiscreteStatsTable[[#This Row],[GroupByKey]]),(DiscreteStatsTable[GroupByKey]=DiscreteStatsTable[[#This Row],[GroupByKey]])*DiscreteStatsTable[NumberObservations])),0)</f>
        <v>184</v>
      </c>
      <c r="W2">
        <f>IF((DiscreteStatsTable[[#This Row],[RepsRequested]]&gt;1),DiscreteStatsTable[[#This Row],[HalfWidth]],DiscreteStatsTable[[#This Row],[BatchMeansHalfWidth]])</f>
        <v>2E+20</v>
      </c>
      <c r="X2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67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0</v>
      </c>
      <c r="H3">
        <v>2E+20</v>
      </c>
      <c r="I3">
        <v>0</v>
      </c>
      <c r="J3">
        <v>0</v>
      </c>
      <c r="K3">
        <v>184</v>
      </c>
      <c r="L3" t="str">
        <f>DiscreteStatsTable[[#This Row],[ProjectName]]&amp;DiscreteStatsTable[[#This Row],[Name]]&amp;DiscreteStatsTable[[#This Row],[Type]]&amp;DiscreteStatsTable[[#This Row],[Source]]</f>
        <v>Unnamed ProjectCAROther TimeEntity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>
        <f t="array" ref="R3">MIN(IF((DiscreteStatsTable[GroupByKey]=DiscreteStatsTable[[#This Row],[GroupByKey]]),(DiscreteStatsTable[GroupByKey]=DiscreteStatsTable[[#This Row],[GroupByKey]])*DiscreteStatsTable[Average]))</f>
        <v>0</v>
      </c>
      <c r="S3">
        <f t="array" ref="S3">MAX(IF((DiscreteStatsTable[GroupByKey]=DiscreteStatsTable[[#This Row],[GroupByKey]]),(DiscreteStatsTable[GroupByKey]=DiscreteStatsTable[[#This Row],[GroupByKey]])*DiscreteStatsTable[Average]))</f>
        <v>0</v>
      </c>
      <c r="T3">
        <f t="array" ref="T3">MIN(IF((DiscreteStatsTable[GroupByKey]=DiscreteStatsTable[[#This Row],[GroupByKey]]),(DiscreteStatsTable[GroupByKey]=DiscreteStatsTable[[#This Row],[GroupByKey]])*DiscreteStatsTable[Minimum]))</f>
        <v>0</v>
      </c>
      <c r="U3">
        <f t="array" ref="U3">MAX(IF((DiscreteStatsTable[GroupByKey]=DiscreteStatsTable[[#This Row],[GroupByKey]]),(DiscreteStatsTable[GroupByKey]=DiscreteStatsTable[[#This Row],[GroupByKey]])*DiscreteStatsTable[Maximum]))</f>
        <v>0</v>
      </c>
      <c r="V3">
        <f t="array" ref="V3">IFERROR(AVERAGE(IF((DiscreteStatsTable[GroupByKey]=DiscreteStatsTable[[#This Row],[GroupByKey]]),(DiscreteStatsTable[GroupByKey]=DiscreteStatsTable[[#This Row],[GroupByKey]])*DiscreteStatsTable[NumberObservations])),0)</f>
        <v>184</v>
      </c>
      <c r="W3">
        <f>IF((DiscreteStatsTable[[#This Row],[RepsRequested]]&gt;1),DiscreteStatsTable[[#This Row],[HalfWidth]],DiscreteStatsTable[[#This Row],[BatchMeansHalfWidth]])</f>
        <v>2E+20</v>
      </c>
      <c r="X3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67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2.7032361067933999</v>
      </c>
      <c r="H4">
        <v>2E+20</v>
      </c>
      <c r="I4">
        <v>1.4512699729251299</v>
      </c>
      <c r="J4">
        <v>3.8340017503696799</v>
      </c>
      <c r="K4">
        <v>184</v>
      </c>
      <c r="L4" t="str">
        <f>DiscreteStatsTable[[#This Row],[ProjectName]]&amp;DiscreteStatsTable[[#This Row],[Name]]&amp;DiscreteStatsTable[[#This Row],[Type]]&amp;DiscreteStatsTable[[#This Row],[Source]]</f>
        <v>Unnamed ProjectCARTotal TimeEntity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2.7032361067933999</v>
      </c>
      <c r="O4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>
        <f t="array" ref="R4">MIN(IF((DiscreteStatsTable[GroupByKey]=DiscreteStatsTable[[#This Row],[GroupByKey]]),(DiscreteStatsTable[GroupByKey]=DiscreteStatsTable[[#This Row],[GroupByKey]])*DiscreteStatsTable[Average]))</f>
        <v>2.7032361067933999</v>
      </c>
      <c r="S4">
        <f t="array" ref="S4">MAX(IF((DiscreteStatsTable[GroupByKey]=DiscreteStatsTable[[#This Row],[GroupByKey]]),(DiscreteStatsTable[GroupByKey]=DiscreteStatsTable[[#This Row],[GroupByKey]])*DiscreteStatsTable[Average]))</f>
        <v>2.7032361067933999</v>
      </c>
      <c r="T4">
        <f t="array" ref="T4">MIN(IF((DiscreteStatsTable[GroupByKey]=DiscreteStatsTable[[#This Row],[GroupByKey]]),(DiscreteStatsTable[GroupByKey]=DiscreteStatsTable[[#This Row],[GroupByKey]])*DiscreteStatsTable[Minimum]))</f>
        <v>1.4512699729251299</v>
      </c>
      <c r="U4">
        <f t="array" ref="U4">MAX(IF((DiscreteStatsTable[GroupByKey]=DiscreteStatsTable[[#This Row],[GroupByKey]]),(DiscreteStatsTable[GroupByKey]=DiscreteStatsTable[[#This Row],[GroupByKey]])*DiscreteStatsTable[Maximum]))</f>
        <v>3.8340017503696799</v>
      </c>
      <c r="V4">
        <f t="array" ref="V4">IFERROR(AVERAGE(IF((DiscreteStatsTable[GroupByKey]=DiscreteStatsTable[[#This Row],[GroupByKey]]),(DiscreteStatsTable[GroupByKey]=DiscreteStatsTable[[#This Row],[GroupByKey]])*DiscreteStatsTable[NumberObservations])),0)</f>
        <v>184</v>
      </c>
      <c r="W4">
        <f>IF((DiscreteStatsTable[[#This Row],[RepsRequested]]&gt;1),DiscreteStatsTable[[#This Row],[HalfWidth]],DiscreteStatsTable[[#This Row],[BatchMeansHalfWidth]])</f>
        <v>2E+20</v>
      </c>
      <c r="X4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67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0</v>
      </c>
      <c r="H5">
        <v>2E+20</v>
      </c>
      <c r="I5">
        <v>0</v>
      </c>
      <c r="J5">
        <v>0</v>
      </c>
      <c r="K5">
        <v>184</v>
      </c>
      <c r="L5" t="str">
        <f>DiscreteStatsTable[[#This Row],[ProjectName]]&amp;DiscreteStatsTable[[#This Row],[Name]]&amp;DiscreteStatsTable[[#This Row],[Type]]&amp;DiscreteStatsTable[[#This Row],[Source]]</f>
        <v>Unnamed ProjectCARTransfer TimeEntity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>
        <f t="array" ref="R5">MIN(IF((DiscreteStatsTable[GroupByKey]=DiscreteStatsTable[[#This Row],[GroupByKey]]),(DiscreteStatsTable[GroupByKey]=DiscreteStatsTable[[#This Row],[GroupByKey]])*DiscreteStatsTable[Average]))</f>
        <v>0</v>
      </c>
      <c r="S5">
        <f t="array" ref="S5">MAX(IF((DiscreteStatsTable[GroupByKey]=DiscreteStatsTable[[#This Row],[GroupByKey]]),(DiscreteStatsTable[GroupByKey]=DiscreteStatsTable[[#This Row],[GroupByKey]])*DiscreteStatsTable[Average]))</f>
        <v>0</v>
      </c>
      <c r="T5">
        <f t="array" ref="T5">MIN(IF((DiscreteStatsTable[GroupByKey]=DiscreteStatsTable[[#This Row],[GroupByKey]]),(DiscreteStatsTable[GroupByKey]=DiscreteStatsTable[[#This Row],[GroupByKey]])*DiscreteStatsTable[Minimum]))</f>
        <v>0</v>
      </c>
      <c r="U5">
        <f t="array" ref="U5">MAX(IF((DiscreteStatsTable[GroupByKey]=DiscreteStatsTable[[#This Row],[GroupByKey]]),(DiscreteStatsTable[GroupByKey]=DiscreteStatsTable[[#This Row],[GroupByKey]])*DiscreteStatsTable[Maximum]))</f>
        <v>0</v>
      </c>
      <c r="V5">
        <f t="array" ref="V5">IFERROR(AVERAGE(IF((DiscreteStatsTable[GroupByKey]=DiscreteStatsTable[[#This Row],[GroupByKey]]),(DiscreteStatsTable[GroupByKey]=DiscreteStatsTable[[#This Row],[GroupByKey]])*DiscreteStatsTable[NumberObservations])),0)</f>
        <v>184</v>
      </c>
      <c r="W5">
        <f>IF((DiscreteStatsTable[[#This Row],[RepsRequested]]&gt;1),DiscreteStatsTable[[#This Row],[HalfWidth]],DiscreteStatsTable[[#This Row],[BatchMeansHalfWidth]])</f>
        <v>2E+20</v>
      </c>
      <c r="X5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67</v>
      </c>
      <c r="B6" t="s">
        <v>70</v>
      </c>
      <c r="C6">
        <v>1</v>
      </c>
      <c r="D6" t="s">
        <v>71</v>
      </c>
      <c r="E6" t="s">
        <v>77</v>
      </c>
      <c r="F6" t="s">
        <v>73</v>
      </c>
      <c r="G6">
        <v>2.0741962692904399</v>
      </c>
      <c r="H6">
        <v>2E+20</v>
      </c>
      <c r="I6">
        <v>0.56624313776447399</v>
      </c>
      <c r="J6">
        <v>3.8340017503696799</v>
      </c>
      <c r="K6">
        <v>184</v>
      </c>
      <c r="L6" t="str">
        <f>DiscreteStatsTable[[#This Row],[ProjectName]]&amp;DiscreteStatsTable[[#This Row],[Name]]&amp;DiscreteStatsTable[[#This Row],[Type]]&amp;DiscreteStatsTable[[#This Row],[Source]]</f>
        <v>Unnamed ProjectCARVA TimeEntity</v>
      </c>
      <c r="M6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>
        <f t="array" ref="N6">IFERROR(AVERAGE(IF((DiscreteStatsTable[GroupByKey]=DiscreteStatsTable[[#This Row],[GroupByKey]]),(DiscreteStatsTable[GroupByKey]=DiscreteStatsTable[[#This Row],[GroupByKey]])*DiscreteStatsTable[Average])),0)</f>
        <v>2.0741962692904399</v>
      </c>
      <c r="O6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>
        <f t="array" ref="R6">MIN(IF((DiscreteStatsTable[GroupByKey]=DiscreteStatsTable[[#This Row],[GroupByKey]]),(DiscreteStatsTable[GroupByKey]=DiscreteStatsTable[[#This Row],[GroupByKey]])*DiscreteStatsTable[Average]))</f>
        <v>2.0741962692904399</v>
      </c>
      <c r="S6">
        <f t="array" ref="S6">MAX(IF((DiscreteStatsTable[GroupByKey]=DiscreteStatsTable[[#This Row],[GroupByKey]]),(DiscreteStatsTable[GroupByKey]=DiscreteStatsTable[[#This Row],[GroupByKey]])*DiscreteStatsTable[Average]))</f>
        <v>2.0741962692904399</v>
      </c>
      <c r="T6">
        <f t="array" ref="T6">MIN(IF((DiscreteStatsTable[GroupByKey]=DiscreteStatsTable[[#This Row],[GroupByKey]]),(DiscreteStatsTable[GroupByKey]=DiscreteStatsTable[[#This Row],[GroupByKey]])*DiscreteStatsTable[Minimum]))</f>
        <v>0.56624313776447399</v>
      </c>
      <c r="U6">
        <f t="array" ref="U6">MAX(IF((DiscreteStatsTable[GroupByKey]=DiscreteStatsTable[[#This Row],[GroupByKey]]),(DiscreteStatsTable[GroupByKey]=DiscreteStatsTable[[#This Row],[GroupByKey]])*DiscreteStatsTable[Maximum]))</f>
        <v>3.8340017503696799</v>
      </c>
      <c r="V6">
        <f t="array" ref="V6">IFERROR(AVERAGE(IF((DiscreteStatsTable[GroupByKey]=DiscreteStatsTable[[#This Row],[GroupByKey]]),(DiscreteStatsTable[GroupByKey]=DiscreteStatsTable[[#This Row],[GroupByKey]])*DiscreteStatsTable[NumberObservations])),0)</f>
        <v>184</v>
      </c>
      <c r="W6">
        <f>IF((DiscreteStatsTable[[#This Row],[RepsRequested]]&gt;1),DiscreteStatsTable[[#This Row],[HalfWidth]],DiscreteStatsTable[[#This Row],[BatchMeansHalfWidth]])</f>
        <v>2E+20</v>
      </c>
      <c r="X6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67</v>
      </c>
      <c r="B7" t="s">
        <v>70</v>
      </c>
      <c r="C7">
        <v>1</v>
      </c>
      <c r="D7" t="s">
        <v>71</v>
      </c>
      <c r="E7" t="s">
        <v>78</v>
      </c>
      <c r="F7" t="s">
        <v>73</v>
      </c>
      <c r="G7">
        <v>0</v>
      </c>
      <c r="H7">
        <v>2E+20</v>
      </c>
      <c r="I7">
        <v>0</v>
      </c>
      <c r="J7">
        <v>0</v>
      </c>
      <c r="K7">
        <v>184</v>
      </c>
      <c r="L7" t="str">
        <f>DiscreteStatsTable[[#This Row],[ProjectName]]&amp;DiscreteStatsTable[[#This Row],[Name]]&amp;DiscreteStatsTable[[#This Row],[Type]]&amp;DiscreteStatsTable[[#This Row],[Source]]</f>
        <v>Unnamed ProjectCARWait TimeEntity</v>
      </c>
      <c r="M7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>
        <f t="array" ref="R7">MIN(IF((DiscreteStatsTable[GroupByKey]=DiscreteStatsTable[[#This Row],[GroupByKey]]),(DiscreteStatsTable[GroupByKey]=DiscreteStatsTable[[#This Row],[GroupByKey]])*DiscreteStatsTable[Average]))</f>
        <v>0</v>
      </c>
      <c r="S7">
        <f t="array" ref="S7">MAX(IF((DiscreteStatsTable[GroupByKey]=DiscreteStatsTable[[#This Row],[GroupByKey]]),(DiscreteStatsTable[GroupByKey]=DiscreteStatsTable[[#This Row],[GroupByKey]])*DiscreteStatsTable[Average]))</f>
        <v>0</v>
      </c>
      <c r="T7">
        <f t="array" ref="T7">MIN(IF((DiscreteStatsTable[GroupByKey]=DiscreteStatsTable[[#This Row],[GroupByKey]]),(DiscreteStatsTable[GroupByKey]=DiscreteStatsTable[[#This Row],[GroupByKey]])*DiscreteStatsTable[Minimum]))</f>
        <v>0</v>
      </c>
      <c r="U7">
        <f t="array" ref="U7">MAX(IF((DiscreteStatsTable[GroupByKey]=DiscreteStatsTable[[#This Row],[GroupByKey]]),(DiscreteStatsTable[GroupByKey]=DiscreteStatsTable[[#This Row],[GroupByKey]])*DiscreteStatsTable[Maximum]))</f>
        <v>0</v>
      </c>
      <c r="V7">
        <f t="array" ref="V7">IFERROR(AVERAGE(IF((DiscreteStatsTable[GroupByKey]=DiscreteStatsTable[[#This Row],[GroupByKey]]),(DiscreteStatsTable[GroupByKey]=DiscreteStatsTable[[#This Row],[GroupByKey]])*DiscreteStatsTable[NumberObservations])),0)</f>
        <v>184</v>
      </c>
      <c r="W7">
        <f>IF((DiscreteStatsTable[[#This Row],[RepsRequested]]&gt;1),DiscreteStatsTable[[#This Row],[HalfWidth]],DiscreteStatsTable[[#This Row],[BatchMeansHalfWidth]])</f>
        <v>2E+20</v>
      </c>
      <c r="X7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</sheetData>
  <phoneticPr fontId="2" type="noConversion"/>
  <conditionalFormatting sqref="H2:H7 Q2:Q7">
    <cfRule type="expression" dxfId="20" priority="23">
      <formula>H2=200000000000000000000</formula>
    </cfRule>
  </conditionalFormatting>
  <conditionalFormatting sqref="H2:H7">
    <cfRule type="expression" dxfId="19" priority="21">
      <formula>H2=300000000000000000000</formula>
    </cfRule>
  </conditionalFormatting>
  <conditionalFormatting sqref="L2:Y7">
    <cfRule type="expression" dxfId="18" priority="19">
      <formula>MOD(ROW(),2)=0</formula>
    </cfRule>
  </conditionalFormatting>
  <conditionalFormatting sqref="Y2:Y7">
    <cfRule type="expression" dxfId="17" priority="14">
      <formula>Y2=0</formula>
    </cfRule>
    <cfRule type="expression" dxfId="16" priority="16">
      <formula>Y2=1</formula>
    </cfRule>
  </conditionalFormatting>
  <conditionalFormatting sqref="Y3:Y7">
    <cfRule type="expression" dxfId="15" priority="15">
      <formula>Y3=1</formula>
    </cfRule>
  </conditionalFormatting>
  <conditionalFormatting sqref="W2:W7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7 W2:W7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"/>
  <sheetViews>
    <sheetView workbookViewId="0">
      <selection activeCell="A2" sqref="A2:L1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26.8867187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67</v>
      </c>
      <c r="B2" t="s">
        <v>70</v>
      </c>
      <c r="C2">
        <v>1</v>
      </c>
      <c r="D2" t="s">
        <v>71</v>
      </c>
      <c r="E2" t="s">
        <v>79</v>
      </c>
      <c r="F2" t="s">
        <v>73</v>
      </c>
      <c r="G2">
        <v>3.28407620095772</v>
      </c>
      <c r="H2">
        <v>2E+20</v>
      </c>
      <c r="I2">
        <v>0</v>
      </c>
      <c r="J2">
        <v>8</v>
      </c>
      <c r="K2">
        <v>7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ProjectCARWIPEntity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3.28407620095772</v>
      </c>
      <c r="P2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>
        <f t="array" ref="S2">MIN(IF((ContinuousStatsTable[GroupByKey]=ContinuousStatsTable[[#This Row],[GroupByKey]]),(ContinuousStatsTable[GroupByKey]=ContinuousStatsTable[[#This Row],[GroupByKey]])*ContinuousStatsTable[Average]))</f>
        <v>3.28407620095772</v>
      </c>
      <c r="T2">
        <f t="array" ref="T2">MAX(IF((ContinuousStatsTable[GroupByKey]=ContinuousStatsTable[[#This Row],[GroupByKey]]),(ContinuousStatsTable[GroupByKey]=ContinuousStatsTable[[#This Row],[GroupByKey]])*ContinuousStatsTable[Average]))</f>
        <v>3.28407620095772</v>
      </c>
      <c r="U2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">
    <cfRule type="expression" dxfId="11" priority="9">
      <formula>H2=200000000000000000000</formula>
    </cfRule>
  </conditionalFormatting>
  <conditionalFormatting sqref="H2">
    <cfRule type="expression" dxfId="10" priority="7">
      <formula>H2=300000000000000000000</formula>
    </cfRule>
  </conditionalFormatting>
  <conditionalFormatting sqref="M2:U2">
    <cfRule type="expression" dxfId="9" priority="5">
      <formula>MOD(ROW(),2)=0</formula>
    </cfRule>
  </conditionalFormatting>
  <conditionalFormatting sqref="U2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 U2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4"/>
  <sheetViews>
    <sheetView workbookViewId="0">
      <selection activeCell="A2" sqref="A2:H3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7" bestFit="1" customWidth="1"/>
    <col min="5" max="5" width="11" bestFit="1" customWidth="1"/>
    <col min="6" max="6" width="9" bestFit="1" customWidth="1"/>
    <col min="7" max="7" width="16.109375" bestFit="1" customWidth="1"/>
    <col min="8" max="8" width="11.33203125" bestFit="1" customWidth="1"/>
    <col min="9" max="9" width="47.77734375" bestFit="1" customWidth="1"/>
    <col min="10" max="10" width="16.21875" bestFit="1" customWidth="1"/>
    <col min="11" max="11" width="10.109375" bestFit="1" customWidth="1"/>
    <col min="12" max="12" width="19" bestFit="1" customWidth="1"/>
    <col min="13" max="13" width="19.44140625" bestFit="1" customWidth="1"/>
    <col min="14" max="14" width="11.6640625" bestFit="1" customWidth="1"/>
    <col min="15" max="15" width="11.44140625" bestFit="1" customWidth="1"/>
    <col min="16" max="16" width="11.77734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67</v>
      </c>
      <c r="B2" t="s">
        <v>70</v>
      </c>
      <c r="C2">
        <v>1</v>
      </c>
      <c r="D2" t="s">
        <v>80</v>
      </c>
      <c r="E2" t="s">
        <v>81</v>
      </c>
      <c r="F2" t="s">
        <v>73</v>
      </c>
      <c r="G2">
        <v>133</v>
      </c>
      <c r="H2">
        <v>0</v>
      </c>
      <c r="I2" t="str">
        <f>OutputTable[[#This Row],[ProjectName]]&amp;OutputTable[[#This Row],[Name]]&amp;OutputTable[[#This Row],[Type]]&amp;OutputTable[[#This Row],[Source]]</f>
        <v>Unnamed ProjectCAR.NumberInNumber InEntity</v>
      </c>
      <c r="J2">
        <f t="array" ref="J2">MAX(IF((ProjectInfoTable[ProjectName]=OutputTable[[#This Row],[ProjectName]]),(ProjectInfoTable[ProjectName]=OutputTable[[#This Row],[ProjectName]])*ProjectInfoTable[NumberOfReplications]))</f>
        <v>1</v>
      </c>
      <c r="K2">
        <f t="array" ref="K2">IFERROR(AVERAGE(IF((OutputTable[GroupByKey]=OutputTable[[#This Row],[GroupByKey]]),(OutputTable[GroupByKey]=OutputTable[[#This Row],[GroupByKey]])*OutputTable[RecordedValue])),0)</f>
        <v>133</v>
      </c>
      <c r="L2">
        <f t="array" ref="L2">IFERROR(_xlfn.STDEV.S(IF((OutputTable[GroupByKey]=OutputTable[[#This Row],[GroupByKey]]),(OutputTable[GroupByKey]=OutputTable[[#This Row],[GroupByKey]])*OutputTable[RecordedValue])),0)</f>
        <v>0</v>
      </c>
      <c r="M2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>
        <f t="array" ref="O2">MIN(IF((OutputTable[GroupByKey]=OutputTable[[#This Row],[GroupByKey]]),(OutputTable[GroupByKey]=OutputTable[[#This Row],[GroupByKey]])*OutputTable[RecordedValue]))</f>
        <v>133</v>
      </c>
      <c r="P2">
        <f t="array" ref="P2">MAX(IF((OutputTable[GroupByKey]=OutputTable[[#This Row],[GroupByKey]]),(OutputTable[GroupByKey]=OutputTable[[#This Row],[GroupByKey]])*OutputTable[RecordedValue]))</f>
        <v>133</v>
      </c>
    </row>
    <row r="3" spans="1:16" x14ac:dyDescent="0.3">
      <c r="A3" t="s">
        <v>67</v>
      </c>
      <c r="B3" t="s">
        <v>70</v>
      </c>
      <c r="C3">
        <v>1</v>
      </c>
      <c r="D3" t="s">
        <v>82</v>
      </c>
      <c r="E3" t="s">
        <v>83</v>
      </c>
      <c r="F3" t="s">
        <v>73</v>
      </c>
      <c r="G3">
        <v>126</v>
      </c>
      <c r="H3">
        <v>0</v>
      </c>
      <c r="I3" t="str">
        <f>OutputTable[[#This Row],[ProjectName]]&amp;OutputTable[[#This Row],[Name]]&amp;OutputTable[[#This Row],[Type]]&amp;OutputTable[[#This Row],[Source]]</f>
        <v>Unnamed ProjectCAR.NumberOutNumber OutEntity</v>
      </c>
      <c r="J3">
        <f t="array" ref="J3">MAX(IF((ProjectInfoTable[ProjectName]=OutputTable[[#This Row],[ProjectName]]),(ProjectInfoTable[ProjectName]=OutputTable[[#This Row],[ProjectName]])*ProjectInfoTable[NumberOfReplications]))</f>
        <v>1</v>
      </c>
      <c r="K3">
        <f t="array" ref="K3">IFERROR(AVERAGE(IF((OutputTable[GroupByKey]=OutputTable[[#This Row],[GroupByKey]]),(OutputTable[GroupByKey]=OutputTable[[#This Row],[GroupByKey]])*OutputTable[RecordedValue])),0)</f>
        <v>126</v>
      </c>
      <c r="L3">
        <f t="array" ref="L3">IFERROR(_xlfn.STDEV.S(IF((OutputTable[GroupByKey]=OutputTable[[#This Row],[GroupByKey]]),(OutputTable[GroupByKey]=OutputTable[[#This Row],[GroupByKey]])*OutputTable[RecordedValue])),0)</f>
        <v>0</v>
      </c>
      <c r="M3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>
        <f t="array" ref="O3">MIN(IF((OutputTable[GroupByKey]=OutputTable[[#This Row],[GroupByKey]]),(OutputTable[GroupByKey]=OutputTable[[#This Row],[GroupByKey]])*OutputTable[RecordedValue]))</f>
        <v>126</v>
      </c>
      <c r="P3">
        <f t="array" ref="P3">MAX(IF((OutputTable[GroupByKey]=OutputTable[[#This Row],[GroupByKey]]),(OutputTable[GroupByKey]=OutputTable[[#This Row],[GroupByKey]])*OutputTable[RecordedValue]))</f>
        <v>126</v>
      </c>
    </row>
    <row r="4" spans="1:16" x14ac:dyDescent="0.3">
      <c r="A4" t="s">
        <v>67</v>
      </c>
      <c r="B4" t="s">
        <v>70</v>
      </c>
      <c r="C4">
        <v>1</v>
      </c>
      <c r="D4" t="s">
        <v>84</v>
      </c>
      <c r="E4" t="s">
        <v>83</v>
      </c>
      <c r="F4" t="s">
        <v>85</v>
      </c>
      <c r="G4">
        <v>184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>
        <f t="array" ref="J4">MAX(IF((ProjectInfoTable[ProjectName]=OutputTable[[#This Row],[ProjectName]]),(ProjectInfoTable[ProjectName]=OutputTable[[#This Row],[ProjectName]])*ProjectInfoTable[NumberOfReplications]))</f>
        <v>1</v>
      </c>
      <c r="K4">
        <f t="array" ref="K4">IFERROR(AVERAGE(IF((OutputTable[GroupByKey]=OutputTable[[#This Row],[GroupByKey]]),(OutputTable[GroupByKey]=OutputTable[[#This Row],[GroupByKey]])*OutputTable[RecordedValue])),0)</f>
        <v>184</v>
      </c>
      <c r="L4">
        <f t="array" ref="L4">IFERROR(_xlfn.STDEV.S(IF((OutputTable[GroupByKey]=OutputTable[[#This Row],[GroupByKey]]),(OutputTable[GroupByKey]=OutputTable[[#This Row],[GroupByKey]])*OutputTable[RecordedValue])),0)</f>
        <v>0</v>
      </c>
      <c r="M4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>
        <f t="array" ref="O4">MIN(IF((OutputTable[GroupByKey]=OutputTable[[#This Row],[GroupByKey]]),(OutputTable[GroupByKey]=OutputTable[[#This Row],[GroupByKey]])*OutputTable[RecordedValue]))</f>
        <v>184</v>
      </c>
      <c r="P4">
        <f t="array" ref="P4">MAX(IF((OutputTable[GroupByKey]=OutputTable[[#This Row],[GroupByKey]]),(OutputTable[GroupByKey]=OutputTable[[#This Row],[GroupByKey]])*OutputTable[RecordedValue]))</f>
        <v>184</v>
      </c>
    </row>
  </sheetData>
  <phoneticPr fontId="2" type="noConversion"/>
  <conditionalFormatting sqref="I2:P4">
    <cfRule type="expression" dxfId="3" priority="2">
      <formula>MOD(ROW(),2)=0</formula>
    </cfRule>
  </conditionalFormatting>
  <conditionalFormatting sqref="N2:N4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5.33203125" bestFit="1" customWidth="1"/>
    <col min="12" max="12" width="13.6640625" bestFit="1" customWidth="1"/>
    <col min="13" max="13" width="28.88671875" bestFit="1" customWidth="1"/>
    <col min="14" max="14" width="29.5546875" bestFit="1" customWidth="1"/>
    <col min="15" max="15" width="16.21875" bestFit="1" customWidth="1"/>
    <col min="16" max="16" width="27.6640625" bestFit="1" customWidth="1"/>
    <col min="17" max="17" width="28.332031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AbuBakarAtiq</cp:lastModifiedBy>
  <cp:lastPrinted>2022-03-22T10:33:10Z</cp:lastPrinted>
  <dcterms:created xsi:type="dcterms:W3CDTF">2020-06-29T21:30:31Z</dcterms:created>
  <dcterms:modified xsi:type="dcterms:W3CDTF">2025-01-08T04:54:44Z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