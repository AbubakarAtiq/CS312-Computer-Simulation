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05_02_Computer_Simulation_CS312_Lab\Class-Assignment_01\"/>
    </mc:Choice>
  </mc:AlternateContent>
  <xr:revisionPtr revIDLastSave="0" documentId="13_ncr:1_{6BB79B8D-6ECA-4355-81D0-DA772B664761}" xr6:coauthVersionLast="47" xr6:coauthVersionMax="47" xr10:uidLastSave="{00000000-0000-0000-0000-000000000000}"/>
  <bookViews>
    <workbookView xWindow="-108" yWindow="-108" windowWidth="23256" windowHeight="12576" tabRatio="790" firstSheet="1" activeTab="4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ContinuousTimeStatsByRep!$A$1:$L$25</definedName>
    <definedName name="ExternalData_1" localSheetId="4" hidden="1">CounterStatsByRep!$A$1:$G$2</definedName>
    <definedName name="ExternalData_1" localSheetId="2" hidden="1">DiscreteTimeStatsByRep!$A$1:$K$11</definedName>
    <definedName name="ExternalData_1" localSheetId="6" hidden="1">FrequencyStatsByRep!$A$1:$K$2</definedName>
    <definedName name="ExternalData_1" localSheetId="5" hidden="1">OutputStatsByRep!$A$1:$H$16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O13" i="20" s="1" a="1"/>
  <c r="O13" i="20" s="1"/>
  <c r="I14" i="20"/>
  <c r="I15" i="20"/>
  <c r="I1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K5" i="20" a="1"/>
  <c r="K5" i="20" s="1"/>
  <c r="K9" i="20" a="1"/>
  <c r="K9" i="20" s="1"/>
  <c r="K13" i="20" a="1"/>
  <c r="K13" i="20" s="1"/>
  <c r="L2" i="20" a="1"/>
  <c r="L2" i="20" s="1"/>
  <c r="L6" i="20" a="1"/>
  <c r="L6" i="20" s="1"/>
  <c r="L10" i="20" a="1"/>
  <c r="L10" i="20" s="1"/>
  <c r="L14" i="20" a="1"/>
  <c r="L14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O14" i="20" a="1"/>
  <c r="O14" i="20" s="1"/>
  <c r="P3" i="20" a="1"/>
  <c r="P3" i="20" s="1"/>
  <c r="P7" i="20" a="1"/>
  <c r="P7" i="20" s="1"/>
  <c r="P11" i="20" a="1"/>
  <c r="P11" i="20" s="1"/>
  <c r="P13" i="20" a="1"/>
  <c r="P13" i="20" s="1"/>
  <c r="P15" i="20" a="1"/>
  <c r="P15" i="20" s="1"/>
  <c r="M2" i="18"/>
  <c r="M3" i="18"/>
  <c r="M4" i="18"/>
  <c r="M5" i="18"/>
  <c r="O2" i="18" s="1" a="1"/>
  <c r="O2" i="18" s="1"/>
  <c r="M6" i="18"/>
  <c r="M7" i="18"/>
  <c r="M8" i="18"/>
  <c r="M9" i="18"/>
  <c r="M10" i="18"/>
  <c r="M11" i="18"/>
  <c r="M12" i="18"/>
  <c r="M13" i="18"/>
  <c r="P22" i="18" s="1" a="1"/>
  <c r="P22" i="18" s="1"/>
  <c r="M14" i="18"/>
  <c r="M15" i="18"/>
  <c r="M16" i="18"/>
  <c r="M17" i="18"/>
  <c r="M18" i="18"/>
  <c r="M19" i="18"/>
  <c r="M20" i="18"/>
  <c r="M21" i="18"/>
  <c r="M22" i="18"/>
  <c r="M23" i="18"/>
  <c r="M24" i="18"/>
  <c r="M25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O5" i="18" a="1"/>
  <c r="O5" i="18" s="1"/>
  <c r="O9" i="18" a="1"/>
  <c r="O9" i="18" s="1"/>
  <c r="O13" i="18" a="1"/>
  <c r="O13" i="18" s="1"/>
  <c r="O17" i="18" a="1"/>
  <c r="O17" i="18" s="1"/>
  <c r="O21" i="18" a="1"/>
  <c r="O21" i="18" s="1"/>
  <c r="O25" i="18" a="1"/>
  <c r="O25" i="18" s="1"/>
  <c r="P5" i="18" a="1"/>
  <c r="P5" i="18" s="1"/>
  <c r="P9" i="18" a="1"/>
  <c r="P9" i="18" s="1"/>
  <c r="P13" i="18" a="1"/>
  <c r="P13" i="18" s="1"/>
  <c r="P17" i="18" a="1"/>
  <c r="P17" i="18" s="1"/>
  <c r="P21" i="18" a="1"/>
  <c r="P21" i="18" s="1"/>
  <c r="P25" i="18" a="1"/>
  <c r="P25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U2" i="18"/>
  <c r="U4" i="18"/>
  <c r="U6" i="18"/>
  <c r="U8" i="18"/>
  <c r="U10" i="18"/>
  <c r="U12" i="18"/>
  <c r="U14" i="18"/>
  <c r="U16" i="18"/>
  <c r="U18" i="18"/>
  <c r="U20" i="18"/>
  <c r="U22" i="18"/>
  <c r="U24" i="18"/>
  <c r="L2" i="17"/>
  <c r="L3" i="17"/>
  <c r="L4" i="17"/>
  <c r="L5" i="17"/>
  <c r="N2" i="17" s="1" a="1"/>
  <c r="N2" i="17" s="1"/>
  <c r="L6" i="17"/>
  <c r="L7" i="17"/>
  <c r="L8" i="17"/>
  <c r="L9" i="17"/>
  <c r="O9" i="17" s="1" a="1"/>
  <c r="O9" i="17" s="1"/>
  <c r="L10" i="17"/>
  <c r="L1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O7" i="17" a="1"/>
  <c r="O7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R3" i="17" a="1"/>
  <c r="R3" i="17" s="1"/>
  <c r="S9" i="17" a="1"/>
  <c r="S9" i="17" s="1"/>
  <c r="U5" i="17" a="1"/>
  <c r="U5" i="17" s="1"/>
  <c r="V11" i="17" a="1"/>
  <c r="V11" i="17" s="1"/>
  <c r="G2" i="16"/>
  <c r="O9" i="20" l="1" a="1"/>
  <c r="O9" i="20" s="1"/>
  <c r="O5" i="20" a="1"/>
  <c r="O5" i="20" s="1"/>
  <c r="L13" i="20" a="1"/>
  <c r="L13" i="20" s="1"/>
  <c r="L9" i="20" a="1"/>
  <c r="L9" i="20" s="1"/>
  <c r="L5" i="20" a="1"/>
  <c r="L5" i="20" s="1"/>
  <c r="K16" i="20" a="1"/>
  <c r="K16" i="20" s="1"/>
  <c r="K12" i="20" a="1"/>
  <c r="K12" i="20" s="1"/>
  <c r="K8" i="20" a="1"/>
  <c r="K8" i="20" s="1"/>
  <c r="K3" i="20" a="1"/>
  <c r="K3" i="20" s="1"/>
  <c r="N13" i="20"/>
  <c r="P16" i="20" a="1"/>
  <c r="P16" i="20" s="1"/>
  <c r="P12" i="20" a="1"/>
  <c r="P12" i="20" s="1"/>
  <c r="P8" i="20" a="1"/>
  <c r="P8" i="20" s="1"/>
  <c r="P4" i="20" a="1"/>
  <c r="P4" i="20" s="1"/>
  <c r="P5" i="20" a="1"/>
  <c r="P5" i="20" s="1"/>
  <c r="O12" i="20" a="1"/>
  <c r="O12" i="20" s="1"/>
  <c r="L16" i="20" a="1"/>
  <c r="L16" i="20" s="1"/>
  <c r="L8" i="20" a="1"/>
  <c r="L8" i="20" s="1"/>
  <c r="L4" i="20" a="1"/>
  <c r="L4" i="20" s="1"/>
  <c r="K15" i="20" a="1"/>
  <c r="K15" i="20" s="1"/>
  <c r="K11" i="20" a="1"/>
  <c r="K11" i="20" s="1"/>
  <c r="K7" i="20" a="1"/>
  <c r="K7" i="20" s="1"/>
  <c r="N8" i="20"/>
  <c r="O15" i="20" a="1"/>
  <c r="O15" i="20" s="1"/>
  <c r="O11" i="20" a="1"/>
  <c r="O11" i="20" s="1"/>
  <c r="O7" i="20" a="1"/>
  <c r="O7" i="20" s="1"/>
  <c r="O3" i="20" a="1"/>
  <c r="O3" i="20" s="1"/>
  <c r="P9" i="20" a="1"/>
  <c r="P9" i="20" s="1"/>
  <c r="O16" i="20" a="1"/>
  <c r="O16" i="20" s="1"/>
  <c r="L12" i="20" a="1"/>
  <c r="L12" i="20" s="1"/>
  <c r="N12" i="20" s="1"/>
  <c r="L15" i="20" a="1"/>
  <c r="L15" i="20" s="1"/>
  <c r="L11" i="20" a="1"/>
  <c r="L11" i="20" s="1"/>
  <c r="L7" i="20" a="1"/>
  <c r="L7" i="20" s="1"/>
  <c r="L3" i="20" a="1"/>
  <c r="L3" i="20" s="1"/>
  <c r="K14" i="20" a="1"/>
  <c r="K14" i="20" s="1"/>
  <c r="K10" i="20" a="1"/>
  <c r="K10" i="20" s="1"/>
  <c r="K6" i="20" a="1"/>
  <c r="K6" i="20" s="1"/>
  <c r="N14" i="20"/>
  <c r="N10" i="20"/>
  <c r="N6" i="20"/>
  <c r="N2" i="20"/>
  <c r="N16" i="20"/>
  <c r="N4" i="20"/>
  <c r="N9" i="20"/>
  <c r="N5" i="20"/>
  <c r="N15" i="20"/>
  <c r="N11" i="20"/>
  <c r="N7" i="20"/>
  <c r="N3" i="20"/>
  <c r="O10" i="20" a="1"/>
  <c r="O10" i="20" s="1"/>
  <c r="O8" i="20" a="1"/>
  <c r="O8" i="20" s="1"/>
  <c r="O6" i="20" a="1"/>
  <c r="O6" i="20" s="1"/>
  <c r="O4" i="20" a="1"/>
  <c r="O4" i="20" s="1"/>
  <c r="O2" i="20" a="1"/>
  <c r="O2" i="20" s="1"/>
  <c r="K2" i="20" a="1"/>
  <c r="K2" i="20" s="1"/>
  <c r="K4" i="20" a="1"/>
  <c r="K4" i="20" s="1"/>
  <c r="P14" i="20" a="1"/>
  <c r="P14" i="20" s="1"/>
  <c r="P10" i="20" a="1"/>
  <c r="P10" i="20" s="1"/>
  <c r="P6" i="20" a="1"/>
  <c r="P6" i="20" s="1"/>
  <c r="P2" i="20" a="1"/>
  <c r="P2" i="20" s="1"/>
  <c r="P24" i="18" a="1"/>
  <c r="P24" i="18" s="1"/>
  <c r="R24" i="18" s="1"/>
  <c r="P20" i="18" a="1"/>
  <c r="P20" i="18" s="1"/>
  <c r="R20" i="18" s="1"/>
  <c r="P16" i="18" a="1"/>
  <c r="P16" i="18" s="1"/>
  <c r="R16" i="18" s="1"/>
  <c r="P12" i="18" a="1"/>
  <c r="P12" i="18" s="1"/>
  <c r="R12" i="18" s="1"/>
  <c r="P8" i="18" a="1"/>
  <c r="P8" i="18" s="1"/>
  <c r="P4" i="18" a="1"/>
  <c r="P4" i="18" s="1"/>
  <c r="O24" i="18" a="1"/>
  <c r="O24" i="18" s="1"/>
  <c r="O20" i="18" a="1"/>
  <c r="O20" i="18" s="1"/>
  <c r="O16" i="18" a="1"/>
  <c r="O16" i="18" s="1"/>
  <c r="O12" i="18" a="1"/>
  <c r="O12" i="18" s="1"/>
  <c r="O8" i="18" a="1"/>
  <c r="O8" i="18" s="1"/>
  <c r="O4" i="18" a="1"/>
  <c r="O4" i="18" s="1"/>
  <c r="P23" i="18" a="1"/>
  <c r="P23" i="18" s="1"/>
  <c r="P19" i="18" a="1"/>
  <c r="P19" i="18" s="1"/>
  <c r="P15" i="18" a="1"/>
  <c r="P15" i="18" s="1"/>
  <c r="P11" i="18" a="1"/>
  <c r="P11" i="18" s="1"/>
  <c r="P7" i="18" a="1"/>
  <c r="P7" i="18" s="1"/>
  <c r="P3" i="18" a="1"/>
  <c r="P3" i="18" s="1"/>
  <c r="O23" i="18" a="1"/>
  <c r="O23" i="18" s="1"/>
  <c r="O19" i="18" a="1"/>
  <c r="O19" i="18" s="1"/>
  <c r="O15" i="18" a="1"/>
  <c r="O15" i="18" s="1"/>
  <c r="O11" i="18" a="1"/>
  <c r="O11" i="18" s="1"/>
  <c r="O7" i="18" a="1"/>
  <c r="O7" i="18" s="1"/>
  <c r="O3" i="18" a="1"/>
  <c r="O3" i="18" s="1"/>
  <c r="P18" i="18" a="1"/>
  <c r="P18" i="18" s="1"/>
  <c r="P14" i="18" a="1"/>
  <c r="P14" i="18" s="1"/>
  <c r="P10" i="18" a="1"/>
  <c r="P10" i="18" s="1"/>
  <c r="P6" i="18" a="1"/>
  <c r="P6" i="18" s="1"/>
  <c r="R6" i="18" s="1"/>
  <c r="P2" i="18" a="1"/>
  <c r="P2" i="18" s="1"/>
  <c r="O22" i="18" a="1"/>
  <c r="O22" i="18" s="1"/>
  <c r="O18" i="18" a="1"/>
  <c r="O18" i="18" s="1"/>
  <c r="O14" i="18" a="1"/>
  <c r="O14" i="18" s="1"/>
  <c r="O10" i="18" a="1"/>
  <c r="O10" i="18" s="1"/>
  <c r="O6" i="18" a="1"/>
  <c r="O6" i="18" s="1"/>
  <c r="R22" i="18"/>
  <c r="R18" i="18"/>
  <c r="R14" i="18"/>
  <c r="R10" i="18"/>
  <c r="R25" i="18"/>
  <c r="U25" i="18"/>
  <c r="R21" i="18"/>
  <c r="U21" i="18"/>
  <c r="R17" i="18"/>
  <c r="U17" i="18"/>
  <c r="R13" i="18"/>
  <c r="U13" i="18"/>
  <c r="R9" i="18"/>
  <c r="U9" i="18"/>
  <c r="R5" i="18"/>
  <c r="U5" i="18"/>
  <c r="R8" i="18"/>
  <c r="R4" i="18"/>
  <c r="R23" i="18"/>
  <c r="U23" i="18"/>
  <c r="R19" i="18"/>
  <c r="U19" i="18"/>
  <c r="R15" i="18"/>
  <c r="U15" i="18"/>
  <c r="R11" i="18"/>
  <c r="U11" i="18"/>
  <c r="R7" i="18"/>
  <c r="U7" i="18"/>
  <c r="R3" i="18"/>
  <c r="U3" i="18"/>
  <c r="R2" i="18"/>
  <c r="V7" i="17" a="1"/>
  <c r="V7" i="17" s="1"/>
  <c r="T11" i="17" a="1"/>
  <c r="T11" i="17" s="1"/>
  <c r="S5" i="17" a="1"/>
  <c r="S5" i="17" s="1"/>
  <c r="O3" i="17" a="1"/>
  <c r="O3" i="17" s="1"/>
  <c r="X9" i="17" a="1"/>
  <c r="X9" i="17" s="1"/>
  <c r="V3" i="17" a="1"/>
  <c r="V3" i="17" s="1"/>
  <c r="T7" i="17" a="1"/>
  <c r="T7" i="17" s="1"/>
  <c r="R11" i="17" a="1"/>
  <c r="R11" i="17" s="1"/>
  <c r="N9" i="17" a="1"/>
  <c r="N9" i="17" s="1"/>
  <c r="X5" i="17" a="1"/>
  <c r="X5" i="17" s="1"/>
  <c r="U9" i="17" a="1"/>
  <c r="U9" i="17" s="1"/>
  <c r="T3" i="17" a="1"/>
  <c r="T3" i="17" s="1"/>
  <c r="R7" i="17" a="1"/>
  <c r="R7" i="17" s="1"/>
  <c r="O11" i="17" a="1"/>
  <c r="O11" i="17" s="1"/>
  <c r="N5" i="17" a="1"/>
  <c r="N5" i="17" s="1"/>
  <c r="X8" i="17" a="1"/>
  <c r="X8" i="17" s="1"/>
  <c r="Y8" i="17" s="1"/>
  <c r="Q8" i="17" s="1"/>
  <c r="V10" i="17" a="1"/>
  <c r="V10" i="17" s="1"/>
  <c r="V2" i="17" a="1"/>
  <c r="V2" i="17" s="1"/>
  <c r="U8" i="17" a="1"/>
  <c r="U8" i="17" s="1"/>
  <c r="U4" i="17" a="1"/>
  <c r="U4" i="17" s="1"/>
  <c r="T10" i="17" a="1"/>
  <c r="T10" i="17" s="1"/>
  <c r="T6" i="17" a="1"/>
  <c r="T6" i="17" s="1"/>
  <c r="T2" i="17" a="1"/>
  <c r="T2" i="17" s="1"/>
  <c r="S8" i="17" a="1"/>
  <c r="S8" i="17" s="1"/>
  <c r="S4" i="17" a="1"/>
  <c r="S4" i="17" s="1"/>
  <c r="R10" i="17" a="1"/>
  <c r="R10" i="17" s="1"/>
  <c r="R6" i="17" a="1"/>
  <c r="R6" i="17" s="1"/>
  <c r="R2" i="17" a="1"/>
  <c r="R2" i="17" s="1"/>
  <c r="O10" i="17" a="1"/>
  <c r="O10" i="17" s="1"/>
  <c r="O6" i="17" a="1"/>
  <c r="O6" i="17" s="1"/>
  <c r="O2" i="17" a="1"/>
  <c r="O2" i="17" s="1"/>
  <c r="N8" i="17" a="1"/>
  <c r="N8" i="17" s="1"/>
  <c r="N4" i="17" a="1"/>
  <c r="N4" i="17" s="1"/>
  <c r="X4" i="17" a="1"/>
  <c r="X4" i="17" s="1"/>
  <c r="V6" i="17" a="1"/>
  <c r="V6" i="17" s="1"/>
  <c r="X11" i="17" a="1"/>
  <c r="X11" i="17" s="1"/>
  <c r="Y11" i="17" s="1"/>
  <c r="Q11" i="17" s="1"/>
  <c r="X7" i="17" a="1"/>
  <c r="X7" i="17" s="1"/>
  <c r="X3" i="17" a="1"/>
  <c r="X3" i="17" s="1"/>
  <c r="V9" i="17" a="1"/>
  <c r="V9" i="17" s="1"/>
  <c r="V5" i="17" a="1"/>
  <c r="V5" i="17" s="1"/>
  <c r="U11" i="17" a="1"/>
  <c r="U11" i="17" s="1"/>
  <c r="U7" i="17" a="1"/>
  <c r="U7" i="17" s="1"/>
  <c r="U3" i="17" a="1"/>
  <c r="U3" i="17" s="1"/>
  <c r="T9" i="17" a="1"/>
  <c r="T9" i="17" s="1"/>
  <c r="T5" i="17" a="1"/>
  <c r="T5" i="17" s="1"/>
  <c r="S11" i="17" a="1"/>
  <c r="S11" i="17" s="1"/>
  <c r="S7" i="17" a="1"/>
  <c r="S7" i="17" s="1"/>
  <c r="S3" i="17" a="1"/>
  <c r="S3" i="17" s="1"/>
  <c r="R9" i="17" a="1"/>
  <c r="R9" i="17" s="1"/>
  <c r="R5" i="17" a="1"/>
  <c r="R5" i="17" s="1"/>
  <c r="O5" i="17" a="1"/>
  <c r="O5" i="17" s="1"/>
  <c r="N11" i="17" a="1"/>
  <c r="N11" i="17" s="1"/>
  <c r="N7" i="17" a="1"/>
  <c r="N7" i="17" s="1"/>
  <c r="N3" i="17" a="1"/>
  <c r="N3" i="17" s="1"/>
  <c r="X10" i="17" a="1"/>
  <c r="X10" i="17" s="1"/>
  <c r="Y10" i="17" s="1"/>
  <c r="Q10" i="17" s="1"/>
  <c r="X6" i="17" a="1"/>
  <c r="X6" i="17" s="1"/>
  <c r="Y6" i="17" s="1"/>
  <c r="Q6" i="17" s="1"/>
  <c r="X2" i="17" a="1"/>
  <c r="X2" i="17" s="1"/>
  <c r="V8" i="17" a="1"/>
  <c r="V8" i="17" s="1"/>
  <c r="V4" i="17" a="1"/>
  <c r="V4" i="17" s="1"/>
  <c r="U10" i="17" a="1"/>
  <c r="U10" i="17" s="1"/>
  <c r="U6" i="17" a="1"/>
  <c r="U6" i="17" s="1"/>
  <c r="U2" i="17" a="1"/>
  <c r="U2" i="17" s="1"/>
  <c r="T8" i="17" a="1"/>
  <c r="T8" i="17" s="1"/>
  <c r="T4" i="17" a="1"/>
  <c r="T4" i="17" s="1"/>
  <c r="S10" i="17" a="1"/>
  <c r="S10" i="17" s="1"/>
  <c r="S6" i="17" a="1"/>
  <c r="S6" i="17" s="1"/>
  <c r="S2" i="17" a="1"/>
  <c r="S2" i="17" s="1"/>
  <c r="R8" i="17" a="1"/>
  <c r="R8" i="17" s="1"/>
  <c r="R4" i="17" a="1"/>
  <c r="R4" i="17" s="1"/>
  <c r="O8" i="17" a="1"/>
  <c r="O8" i="17" s="1"/>
  <c r="O4" i="17" a="1"/>
  <c r="O4" i="17" s="1"/>
  <c r="N10" i="17" a="1"/>
  <c r="N10" i="17" s="1"/>
  <c r="N6" i="17" a="1"/>
  <c r="N6" i="17" s="1"/>
  <c r="Y5" i="17"/>
  <c r="W5" i="17"/>
  <c r="W4" i="17"/>
  <c r="Y4" i="17"/>
  <c r="W11" i="17"/>
  <c r="W7" i="17"/>
  <c r="Y7" i="17"/>
  <c r="Q7" i="17" s="1"/>
  <c r="W3" i="17"/>
  <c r="Y3" i="17"/>
  <c r="Y9" i="17"/>
  <c r="Q9" i="17" s="1"/>
  <c r="W9" i="17"/>
  <c r="W8" i="17"/>
  <c r="W10" i="17"/>
  <c r="W6" i="17"/>
  <c r="W2" i="17"/>
  <c r="Y2" i="17"/>
  <c r="Q3" i="17" l="1"/>
  <c r="Q5" i="17"/>
  <c r="Q2" i="17"/>
  <c r="Q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f:\05_02_computer_simulation_cs312_lab\class-assignment_01\class_assignment_01_arena_v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f:\05_02_computer_simulation_cs312_lab\class-assignment_01\class_assignment_01_arena_v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f:\05_02_computer_simulation_cs312_lab\class-assignment_01\class_assignment_01_arena_v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f:\05_02_computer_simulation_cs312_lab\class-assignment_01\class_assignment_01_arena_v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f:\05_02_computer_simulation_cs312_lab\class-assignment_01\class_assignment_01_arena_v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f:\05_02_computer_simulation_cs312_lab\class-assignment_01\class_assignment_01_arena_v1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<sst xmlns="http://schemas.openxmlformats.org/spreadsheetml/2006/main" count="543" uniqueCount="118">
  <si>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</si>
  <si>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</si>
  <si>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</si>
  <si>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</si>
  <si>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</si>
  <si>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</si>
  <si>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</si>
  <si>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</si>
  <si>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</si>
  <si>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</si>
  <si>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</si>
  <si>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</si>
  <si>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</si>
  <si>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</si>
  <si>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</si>
  <si>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</si>
  <si>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</si>
  <si>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</si>
  <si>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</si>
  <si>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</si>
  <si>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</si>
  <si>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</si>
  <si>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</si>
  <si>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</si>
  <si>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</si>
  <si>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</si>
  <si>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</si>
  <si>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</si>
  <si>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</si>
  <si>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</si>
  <si>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</si>
  <si>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</si>
  <si>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</si>
  <si>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</si>
  <si>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</si>
  <si>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</si>
  <si>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</si>
  <si>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</si>
  <si>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</si>
  <si>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</si>
  <si>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</si>
  <si>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</si>
  <si>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</si>
  <si>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</si>
  <si>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</si>
  <si>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</si>
  <si>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</si>
  <si>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</si>
  <si>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</si>
  <si>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</si>
  <si>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</si>
  <si>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</si>
  <si>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</si>
  <si>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</si>
  <si>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</si>
  <si>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</si>
  <si>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</si>
  <si>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</si>
  <si>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</si>
  <si>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</si>
  <si>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</si>
  <si>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</si>
  <si>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</si>
  <si>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</si>
  <si>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</si>
  <si>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</si>
  <si>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</si>
  <si>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</si>
  <si>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</si>
  <si>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F:\05_02_Computer_Simulation_CS312_Lab\Class-Assignment_01\Class_Assignment_01_Arena_v1.p</t>
  </si>
  <si>
    <t>2024-10-29 21:08:59</t>
  </si>
  <si>
    <t>RFID Validation Boys Entrance.Queue</t>
  </si>
  <si>
    <t>Waiting Time</t>
  </si>
  <si>
    <t>Queue</t>
  </si>
  <si>
    <t>RFID Validation Emergency Boys.Queue</t>
  </si>
  <si>
    <t>RFID Validation Emergency Girls.Queue</t>
  </si>
  <si>
    <t>RFID Validation Girls Entrance.Queue</t>
  </si>
  <si>
    <t>Student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</si>
  <si>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</si>
  <si>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</si>
  <si>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</si>
  <si>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</si>
  <si>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</si>
  <si>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</si>
  <si>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</si>
  <si>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Boys Entrance Gate</t>
  </si>
  <si>
    <t>Instantaneous Utilization</t>
  </si>
  <si>
    <t>Resource</t>
  </si>
  <si>
    <t>Number Busy</t>
  </si>
  <si>
    <t>Number Scheduled</t>
  </si>
  <si>
    <t>Boys Exit Gate</t>
  </si>
  <si>
    <t>Emergency Boys Gate</t>
  </si>
  <si>
    <t>Emergency Girls Gate</t>
  </si>
  <si>
    <t>Girls Entrance Gate</t>
  </si>
  <si>
    <t>Girls Exit Gate</t>
  </si>
  <si>
    <t>Number Waiting</t>
  </si>
  <si>
    <t>RFID Validation.Queue</t>
  </si>
  <si>
    <t>WIP</t>
  </si>
  <si>
    <t>Boys Entrance Gate.NumberSeized</t>
  </si>
  <si>
    <t>Total Number Seized</t>
  </si>
  <si>
    <t>Boys Entrance Gate.ScheduledUtilization</t>
  </si>
  <si>
    <t>Scheduled Utilization</t>
  </si>
  <si>
    <t>Boys Exit Gate.NumberSeized</t>
  </si>
  <si>
    <t>Boys Exit Gate.ScheduledUtilization</t>
  </si>
  <si>
    <t>Emergency Boys Gate.NumberSeized</t>
  </si>
  <si>
    <t>Emergency Boys Gate.ScheduledUtilization</t>
  </si>
  <si>
    <t>Emergency Girls Gate.NumberSeized</t>
  </si>
  <si>
    <t>Emergency Girls Gate.ScheduledUtilization</t>
  </si>
  <si>
    <t>Girls Entrance Gate.NumberSeized</t>
  </si>
  <si>
    <t>Girls Entrance Gate.ScheduledUtilization</t>
  </si>
  <si>
    <t>Girls Exit Gate.NumberSeized</t>
  </si>
  <si>
    <t>Girls Exit Gate.ScheduledUtilization</t>
  </si>
  <si>
    <t>Student.NumberIn</t>
  </si>
  <si>
    <t>Number In</t>
  </si>
  <si>
    <t>Student.NumberOut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</si>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</sst>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4.881520023147" createdVersion="7" refreshedVersion="8" minRefreshableVersion="3" recordCount="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3">
        <s v="Boys Entrance Gate.NumberSeized"/>
        <s v="Boys Entrance Gate.ScheduledUtilization"/>
        <s v="Boys Exit Gate.NumberSeized"/>
        <s v="Boys Exit Gate.ScheduledUtilization"/>
        <s v="Emergency Boys Gate.NumberSeized"/>
        <s v="Emergency Boys Gate.ScheduledUtilization"/>
        <s v="Emergency Girls Gate.NumberSeized"/>
        <s v="Emergency Girls Gate.ScheduledUtilization"/>
        <s v="Girls Entrance Gate.NumberSeized"/>
        <s v="Girls Entrance Gate.ScheduledUtilization"/>
        <s v="Girls Exit Gate.NumberSeized"/>
        <s v="Girls Exit Gate.ScheduledUtilization"/>
        <s v="Student.NumberIn"/>
        <s v="Studen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12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2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200"/>
    </cacheField>
    <cacheField name="Maximum" numFmtId="0">
      <sharedItems containsSemiMixedTypes="0" containsString="0" containsNumber="1" minValue="0" maxValue="1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4.88152037037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4.881520717594" createdVersion="7" refreshedVersion="8" minRefreshableVersion="3" recordCount="2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6">
        <s v="Boys Entrance Gate"/>
        <s v="Boys Exit Gate"/>
        <s v="Emergency Boys Gate"/>
        <s v="Emergency Girls Gate"/>
        <s v="Girls Entrance Gate"/>
        <s v="Girls Exit Gate"/>
        <s v="RFID Validation Boys Entrance.Queue"/>
        <s v="RFID Validation Emergency Boys.Queue"/>
        <s v="RFID Validation Emergency Girls.Queue"/>
        <s v="RFID Validation Girls Entrance.Queue"/>
        <s v="RFID Validation.Queue"/>
        <s v="Studen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42.4815979331513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85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2.4815979331513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2.481597933151399"/>
    </cacheField>
    <cacheField name="MaximumAverage" numFmtId="0">
      <sharedItems containsSemiMixedTypes="0" containsString="0" containsNumber="1" minValue="0" maxValue="42.481597933151399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4.881520833333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4.881521180556" createdVersion="7" refreshedVersion="8" minRefreshableVersion="3" recordCount="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RFID Validation Boys Entrance.Queue"/>
        <s v="RFID Validation Emergency Boys.Queue"/>
        <s v="RFID Validation Emergency Girls.Queue"/>
        <s v="RFID Validation Girls Entrance.Queue"/>
        <s v="Studen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.4648446909036801E-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9.5018675193941904E-4"/>
    </cacheField>
    <cacheField name="Maximum" numFmtId="0">
      <sharedItems containsSemiMixedTypes="0" containsString="0" containsNumber="1" minValue="0" maxValue="0.12622906639606901"/>
    </cacheField>
    <cacheField name="NumberObservations" numFmtId="0">
      <sharedItems containsSemiMixedTypes="0" containsString="0" containsNumber="1" containsInteger="1" minValue="300" maxValue="12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.4648446909036801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.4648446909036801E-2"/>
    </cacheField>
    <cacheField name="MaximumAverage" numFmtId="0">
      <sharedItems containsSemiMixedTypes="0" containsString="0" containsNumber="1" minValue="0" maxValue="5.4648446909036801E-2"/>
    </cacheField>
    <cacheField name="OverallMinimum" numFmtId="0">
      <sharedItems containsSemiMixedTypes="0" containsString="0" containsNumber="1" minValue="0" maxValue="9.5018675193941904E-4"/>
    </cacheField>
    <cacheField name="OverallMaximum" numFmtId="0">
      <sharedItems containsSemiMixedTypes="0" containsString="0" containsNumber="1" minValue="0" maxValue="0.12622906639606901"/>
    </cacheField>
    <cacheField name="AverageNumberObservations" numFmtId="0">
      <sharedItems containsSemiMixedTypes="0" containsString="0" containsNumber="1" containsInteger="1" minValue="300" maxValue="1200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4-10-29 21:08:59"/>
    <n v="1"/>
    <x v="0"/>
    <x v="0"/>
    <x v="0"/>
    <n v="300"/>
    <n v="0"/>
    <s v="Unnamed ProjectBoys Entrance Gate.NumberSeizedTotal Number SeizedResource"/>
    <n v="1"/>
    <n v="300"/>
    <n v="0"/>
    <n v="0.95"/>
    <n v="4E+20"/>
    <n v="300"/>
    <n v="300"/>
  </r>
  <r>
    <x v="0"/>
    <s v="2024-10-29 21:08:59"/>
    <n v="1"/>
    <x v="1"/>
    <x v="1"/>
    <x v="0"/>
    <n v="0.97507877392223596"/>
    <n v="0"/>
    <s v="Unnamed ProjectBoys Entrance Gate.ScheduledUtilizationScheduled UtilizationResource"/>
    <n v="1"/>
    <n v="0.97507877392223596"/>
    <n v="0"/>
    <n v="0.95"/>
    <n v="4E+20"/>
    <n v="0.97507877392223596"/>
    <n v="0.97507877392223596"/>
  </r>
  <r>
    <x v="0"/>
    <s v="2024-10-29 21:08:59"/>
    <n v="1"/>
    <x v="2"/>
    <x v="0"/>
    <x v="0"/>
    <n v="0"/>
    <n v="0"/>
    <s v="Unnamed ProjectBoys Exit Gate.NumberSeizedTotal Number SeizedResource"/>
    <n v="1"/>
    <n v="0"/>
    <n v="0"/>
    <n v="0.95"/>
    <n v="4E+20"/>
    <n v="0"/>
    <n v="0"/>
  </r>
  <r>
    <x v="0"/>
    <s v="2024-10-29 21:08:59"/>
    <n v="1"/>
    <x v="3"/>
    <x v="1"/>
    <x v="0"/>
    <n v="0"/>
    <n v="0"/>
    <s v="Unnamed ProjectBoys Exit Gate.ScheduledUtilizationScheduled UtilizationResource"/>
    <n v="1"/>
    <n v="0"/>
    <n v="0"/>
    <n v="0.95"/>
    <n v="4E+20"/>
    <n v="0"/>
    <n v="0"/>
  </r>
  <r>
    <x v="0"/>
    <s v="2024-10-29 21:08:59"/>
    <n v="1"/>
    <x v="4"/>
    <x v="0"/>
    <x v="0"/>
    <n v="300"/>
    <n v="0"/>
    <s v="Unnamed ProjectEmergency Boys Gate.NumberSeizedTotal Number SeizedResource"/>
    <n v="1"/>
    <n v="300"/>
    <n v="0"/>
    <n v="0.95"/>
    <n v="4E+20"/>
    <n v="300"/>
    <n v="300"/>
  </r>
  <r>
    <x v="0"/>
    <s v="2024-10-29 21:08:59"/>
    <n v="1"/>
    <x v="5"/>
    <x v="1"/>
    <x v="0"/>
    <n v="0.50181576809681605"/>
    <n v="0"/>
    <s v="Unnamed ProjectEmergency Boys Gate.ScheduledUtilizationScheduled UtilizationResource"/>
    <n v="1"/>
    <n v="0.50181576809681605"/>
    <n v="0"/>
    <n v="0.95"/>
    <n v="4E+20"/>
    <n v="0.50181576809681605"/>
    <n v="0.50181576809681605"/>
  </r>
  <r>
    <x v="0"/>
    <s v="2024-10-29 21:08:59"/>
    <n v="1"/>
    <x v="6"/>
    <x v="0"/>
    <x v="0"/>
    <n v="300"/>
    <n v="0"/>
    <s v="Unnamed ProjectEmergency Girls Gate.NumberSeizedTotal Number SeizedResource"/>
    <n v="1"/>
    <n v="300"/>
    <n v="0"/>
    <n v="0.95"/>
    <n v="4E+20"/>
    <n v="300"/>
    <n v="300"/>
  </r>
  <r>
    <x v="0"/>
    <s v="2024-10-29 21:08:59"/>
    <n v="1"/>
    <x v="7"/>
    <x v="1"/>
    <x v="0"/>
    <n v="0.49266821744608003"/>
    <n v="0"/>
    <s v="Unnamed ProjectEmergency Girls Gate.ScheduledUtilizationScheduled UtilizationResource"/>
    <n v="1"/>
    <n v="0.49266821744608003"/>
    <n v="0"/>
    <n v="0.95"/>
    <n v="4E+20"/>
    <n v="0.49266821744608003"/>
    <n v="0.49266821744608003"/>
  </r>
  <r>
    <x v="0"/>
    <s v="2024-10-29 21:08:59"/>
    <n v="1"/>
    <x v="8"/>
    <x v="0"/>
    <x v="0"/>
    <n v="300"/>
    <n v="0"/>
    <s v="Unnamed ProjectGirls Entrance Gate.NumberSeizedTotal Number SeizedResource"/>
    <n v="1"/>
    <n v="300"/>
    <n v="0"/>
    <n v="0.95"/>
    <n v="4E+20"/>
    <n v="300"/>
    <n v="300"/>
  </r>
  <r>
    <x v="0"/>
    <s v="2024-10-29 21:08:59"/>
    <n v="1"/>
    <x v="9"/>
    <x v="1"/>
    <x v="0"/>
    <n v="0.97464365871828096"/>
    <n v="0"/>
    <s v="Unnamed ProjectGirls Entrance Gate.ScheduledUtilizationScheduled UtilizationResource"/>
    <n v="1"/>
    <n v="0.97464365871828096"/>
    <n v="0"/>
    <n v="0.95"/>
    <n v="4E+20"/>
    <n v="0.97464365871828096"/>
    <n v="0.97464365871828096"/>
  </r>
  <r>
    <x v="0"/>
    <s v="2024-10-29 21:08:59"/>
    <n v="1"/>
    <x v="10"/>
    <x v="0"/>
    <x v="0"/>
    <n v="0"/>
    <n v="0"/>
    <s v="Unnamed ProjectGirls Exit Gate.NumberSeizedTotal Number SeizedResource"/>
    <n v="1"/>
    <n v="0"/>
    <n v="0"/>
    <n v="0.95"/>
    <n v="4E+20"/>
    <n v="0"/>
    <n v="0"/>
  </r>
  <r>
    <x v="0"/>
    <s v="2024-10-29 21:08:59"/>
    <n v="1"/>
    <x v="11"/>
    <x v="1"/>
    <x v="0"/>
    <n v="0"/>
    <n v="0"/>
    <s v="Unnamed ProjectGirls Exit Gate.ScheduledUtilizationScheduled UtilizationResource"/>
    <n v="1"/>
    <n v="0"/>
    <n v="0"/>
    <n v="0.95"/>
    <n v="4E+20"/>
    <n v="0"/>
    <n v="0"/>
  </r>
  <r>
    <x v="0"/>
    <s v="2024-10-29 21:08:59"/>
    <n v="1"/>
    <x v="12"/>
    <x v="2"/>
    <x v="1"/>
    <n v="1200"/>
    <n v="0"/>
    <s v="Unnamed ProjectStudent.NumberInNumber InEntity"/>
    <n v="1"/>
    <n v="1200"/>
    <n v="0"/>
    <n v="0.95"/>
    <n v="4E+20"/>
    <n v="1200"/>
    <n v="1200"/>
  </r>
  <r>
    <x v="0"/>
    <s v="2024-10-29 21:08:59"/>
    <n v="1"/>
    <x v="13"/>
    <x v="3"/>
    <x v="1"/>
    <n v="1200"/>
    <n v="0"/>
    <s v="Unnamed ProjectStudent.NumberOutNumber OutEntity"/>
    <n v="1"/>
    <n v="1200"/>
    <n v="0"/>
    <n v="0.95"/>
    <n v="4E+20"/>
    <n v="1200"/>
    <n v="1200"/>
  </r>
  <r>
    <x v="0"/>
    <s v="2024-10-29 21:08:59"/>
    <n v="1"/>
    <x v="14"/>
    <x v="3"/>
    <x v="2"/>
    <n v="1200"/>
    <n v="0"/>
    <s v="Unnamed ProjectSystem.NumberOutNumber OutSystem"/>
    <n v="1"/>
    <n v="1200"/>
    <n v="0"/>
    <n v="0.95"/>
    <n v="4E+20"/>
    <n v="1200"/>
    <n v="12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2024-10-29 21:08:59"/>
    <n v="1"/>
    <x v="0"/>
    <x v="0"/>
    <x v="0"/>
    <n v="0.97507877392223596"/>
    <n v="2E+20"/>
    <n v="0"/>
    <n v="1"/>
    <n v="0"/>
    <n v="0"/>
    <s v="Unnamed ProjectBoys Entrance GateInstantaneous UtilizationResource"/>
    <n v="1"/>
    <n v="0.97507877392223596"/>
    <n v="0"/>
    <n v="0.95"/>
    <n v="4E+20"/>
    <n v="0.97507877392223596"/>
    <n v="0.97507877392223596"/>
    <n v="2E+20"/>
  </r>
  <r>
    <x v="0"/>
    <s v="2024-10-29 21:08:59"/>
    <n v="1"/>
    <x v="0"/>
    <x v="1"/>
    <x v="0"/>
    <n v="0.97507877392223596"/>
    <n v="2E+20"/>
    <n v="0"/>
    <n v="1"/>
    <n v="0"/>
    <n v="0"/>
    <s v="Unnamed ProjectBoys Entrance GateNumber BusyResource"/>
    <n v="1"/>
    <n v="0.97507877392223596"/>
    <n v="0"/>
    <n v="0.95"/>
    <n v="4E+20"/>
    <n v="0.97507877392223596"/>
    <n v="0.97507877392223596"/>
    <n v="2E+20"/>
  </r>
  <r>
    <x v="0"/>
    <s v="2024-10-29 21:08:59"/>
    <n v="1"/>
    <x v="0"/>
    <x v="2"/>
    <x v="0"/>
    <n v="1"/>
    <n v="2E+20"/>
    <n v="1"/>
    <n v="1"/>
    <n v="1"/>
    <n v="0"/>
    <s v="Unnamed ProjectBoys Entrance GateNumber ScheduledResource"/>
    <n v="1"/>
    <n v="1"/>
    <n v="0"/>
    <n v="0.95"/>
    <n v="4E+20"/>
    <n v="1"/>
    <n v="1"/>
    <n v="2E+20"/>
  </r>
  <r>
    <x v="0"/>
    <s v="2024-10-29 21:08:59"/>
    <n v="1"/>
    <x v="1"/>
    <x v="0"/>
    <x v="0"/>
    <n v="0"/>
    <n v="2E+20"/>
    <n v="0"/>
    <n v="0"/>
    <n v="0"/>
    <n v="0"/>
    <s v="Unnamed ProjectBoys Exit GateInstantaneous UtilizationResource"/>
    <n v="1"/>
    <n v="0"/>
    <n v="0"/>
    <n v="0.95"/>
    <n v="4E+20"/>
    <n v="0"/>
    <n v="0"/>
    <n v="2E+20"/>
  </r>
  <r>
    <x v="0"/>
    <s v="2024-10-29 21:08:59"/>
    <n v="1"/>
    <x v="1"/>
    <x v="1"/>
    <x v="0"/>
    <n v="0"/>
    <n v="2E+20"/>
    <n v="0"/>
    <n v="0"/>
    <n v="0"/>
    <n v="0"/>
    <s v="Unnamed ProjectBoys Exit GateNumber BusyResource"/>
    <n v="1"/>
    <n v="0"/>
    <n v="0"/>
    <n v="0.95"/>
    <n v="4E+20"/>
    <n v="0"/>
    <n v="0"/>
    <n v="2E+20"/>
  </r>
  <r>
    <x v="0"/>
    <s v="2024-10-29 21:08:59"/>
    <n v="1"/>
    <x v="1"/>
    <x v="2"/>
    <x v="0"/>
    <n v="1"/>
    <n v="2E+20"/>
    <n v="1"/>
    <n v="1"/>
    <n v="1"/>
    <n v="0"/>
    <s v="Unnamed ProjectBoys Exit GateNumber ScheduledResource"/>
    <n v="1"/>
    <n v="1"/>
    <n v="0"/>
    <n v="0.95"/>
    <n v="4E+20"/>
    <n v="1"/>
    <n v="1"/>
    <n v="2E+20"/>
  </r>
  <r>
    <x v="0"/>
    <s v="2024-10-29 21:08:59"/>
    <n v="1"/>
    <x v="2"/>
    <x v="0"/>
    <x v="0"/>
    <n v="0.50181576809681605"/>
    <n v="2E+20"/>
    <n v="0"/>
    <n v="1"/>
    <n v="0"/>
    <n v="0"/>
    <s v="Unnamed ProjectEmergency Boys GateInstantaneous UtilizationResource"/>
    <n v="1"/>
    <n v="0.50181576809681605"/>
    <n v="0"/>
    <n v="0.95"/>
    <n v="4E+20"/>
    <n v="0.50181576809681605"/>
    <n v="0.50181576809681605"/>
    <n v="2E+20"/>
  </r>
  <r>
    <x v="0"/>
    <s v="2024-10-29 21:08:59"/>
    <n v="1"/>
    <x v="2"/>
    <x v="1"/>
    <x v="0"/>
    <n v="1.0036315361936301"/>
    <n v="2E+20"/>
    <n v="0"/>
    <n v="2"/>
    <n v="0"/>
    <n v="0"/>
    <s v="Unnamed ProjectEmergency Boys GateNumber BusyResource"/>
    <n v="1"/>
    <n v="1.0036315361936301"/>
    <n v="0"/>
    <n v="0.95"/>
    <n v="4E+20"/>
    <n v="1.0036315361936301"/>
    <n v="1.0036315361936301"/>
    <n v="2E+20"/>
  </r>
  <r>
    <x v="0"/>
    <s v="2024-10-29 21:08:59"/>
    <n v="1"/>
    <x v="2"/>
    <x v="2"/>
    <x v="0"/>
    <n v="2"/>
    <n v="2E+20"/>
    <n v="2"/>
    <n v="2"/>
    <n v="2"/>
    <n v="0"/>
    <s v="Unnamed ProjectEmergency Boys GateNumber ScheduledResource"/>
    <n v="1"/>
    <n v="2"/>
    <n v="0"/>
    <n v="0.95"/>
    <n v="4E+20"/>
    <n v="2"/>
    <n v="2"/>
    <n v="2E+20"/>
  </r>
  <r>
    <x v="0"/>
    <s v="2024-10-29 21:08:59"/>
    <n v="1"/>
    <x v="3"/>
    <x v="0"/>
    <x v="0"/>
    <n v="0.49266821744608003"/>
    <n v="2E+20"/>
    <n v="0"/>
    <n v="1"/>
    <n v="0"/>
    <n v="0"/>
    <s v="Unnamed ProjectEmergency Girls GateInstantaneous UtilizationResource"/>
    <n v="1"/>
    <n v="0.49266821744608003"/>
    <n v="0"/>
    <n v="0.95"/>
    <n v="4E+20"/>
    <n v="0.49266821744608003"/>
    <n v="0.49266821744608003"/>
    <n v="2E+20"/>
  </r>
  <r>
    <x v="0"/>
    <s v="2024-10-29 21:08:59"/>
    <n v="1"/>
    <x v="3"/>
    <x v="1"/>
    <x v="0"/>
    <n v="0.98533643489216005"/>
    <n v="2E+20"/>
    <n v="0"/>
    <n v="2"/>
    <n v="0"/>
    <n v="0"/>
    <s v="Unnamed ProjectEmergency Girls GateNumber BusyResource"/>
    <n v="1"/>
    <n v="0.98533643489216005"/>
    <n v="0"/>
    <n v="0.95"/>
    <n v="4E+20"/>
    <n v="0.98533643489216005"/>
    <n v="0.98533643489216005"/>
    <n v="2E+20"/>
  </r>
  <r>
    <x v="0"/>
    <s v="2024-10-29 21:08:59"/>
    <n v="1"/>
    <x v="3"/>
    <x v="2"/>
    <x v="0"/>
    <n v="2"/>
    <n v="2E+20"/>
    <n v="2"/>
    <n v="2"/>
    <n v="2"/>
    <n v="0"/>
    <s v="Unnamed ProjectEmergency Girls GateNumber ScheduledResource"/>
    <n v="1"/>
    <n v="2"/>
    <n v="0"/>
    <n v="0.95"/>
    <n v="4E+20"/>
    <n v="2"/>
    <n v="2"/>
    <n v="2E+20"/>
  </r>
  <r>
    <x v="0"/>
    <s v="2024-10-29 21:08:59"/>
    <n v="1"/>
    <x v="4"/>
    <x v="0"/>
    <x v="0"/>
    <n v="0.97464365871828096"/>
    <n v="2E+20"/>
    <n v="0"/>
    <n v="1"/>
    <n v="0"/>
    <n v="0"/>
    <s v="Unnamed ProjectGirls Entrance GateInstantaneous UtilizationResource"/>
    <n v="1"/>
    <n v="0.97464365871828096"/>
    <n v="0"/>
    <n v="0.95"/>
    <n v="4E+20"/>
    <n v="0.97464365871828096"/>
    <n v="0.97464365871828096"/>
    <n v="2E+20"/>
  </r>
  <r>
    <x v="0"/>
    <s v="2024-10-29 21:08:59"/>
    <n v="1"/>
    <x v="4"/>
    <x v="1"/>
    <x v="0"/>
    <n v="0.97464365871828096"/>
    <n v="2E+20"/>
    <n v="0"/>
    <n v="1"/>
    <n v="0"/>
    <n v="0"/>
    <s v="Unnamed ProjectGirls Entrance GateNumber BusyResource"/>
    <n v="1"/>
    <n v="0.97464365871828096"/>
    <n v="0"/>
    <n v="0.95"/>
    <n v="4E+20"/>
    <n v="0.97464365871828096"/>
    <n v="0.97464365871828096"/>
    <n v="2E+20"/>
  </r>
  <r>
    <x v="0"/>
    <s v="2024-10-29 21:08:59"/>
    <n v="1"/>
    <x v="4"/>
    <x v="2"/>
    <x v="0"/>
    <n v="1"/>
    <n v="2E+20"/>
    <n v="1"/>
    <n v="1"/>
    <n v="1"/>
    <n v="0"/>
    <s v="Unnamed ProjectGirls Entrance GateNumber ScheduledResource"/>
    <n v="1"/>
    <n v="1"/>
    <n v="0"/>
    <n v="0.95"/>
    <n v="4E+20"/>
    <n v="1"/>
    <n v="1"/>
    <n v="2E+20"/>
  </r>
  <r>
    <x v="0"/>
    <s v="2024-10-29 21:08:59"/>
    <n v="1"/>
    <x v="5"/>
    <x v="0"/>
    <x v="0"/>
    <n v="0"/>
    <n v="2E+20"/>
    <n v="0"/>
    <n v="0"/>
    <n v="0"/>
    <n v="0"/>
    <s v="Unnamed ProjectGirls Exit GateInstantaneous UtilizationResource"/>
    <n v="1"/>
    <n v="0"/>
    <n v="0"/>
    <n v="0.95"/>
    <n v="4E+20"/>
    <n v="0"/>
    <n v="0"/>
    <n v="2E+20"/>
  </r>
  <r>
    <x v="0"/>
    <s v="2024-10-29 21:08:59"/>
    <n v="1"/>
    <x v="5"/>
    <x v="1"/>
    <x v="0"/>
    <n v="0"/>
    <n v="2E+20"/>
    <n v="0"/>
    <n v="0"/>
    <n v="0"/>
    <n v="0"/>
    <s v="Unnamed ProjectGirls Exit GateNumber BusyResource"/>
    <n v="1"/>
    <n v="0"/>
    <n v="0"/>
    <n v="0.95"/>
    <n v="4E+20"/>
    <n v="0"/>
    <n v="0"/>
    <n v="2E+20"/>
  </r>
  <r>
    <x v="0"/>
    <s v="2024-10-29 21:08:59"/>
    <n v="1"/>
    <x v="5"/>
    <x v="2"/>
    <x v="0"/>
    <n v="1"/>
    <n v="2E+20"/>
    <n v="1"/>
    <n v="1"/>
    <n v="1"/>
    <n v="0"/>
    <s v="Unnamed ProjectGirls Exit GateNumber ScheduledResource"/>
    <n v="1"/>
    <n v="1"/>
    <n v="0"/>
    <n v="0.95"/>
    <n v="4E+20"/>
    <n v="1"/>
    <n v="1"/>
    <n v="2E+20"/>
  </r>
  <r>
    <x v="0"/>
    <s v="2024-10-29 21:08:59"/>
    <n v="1"/>
    <x v="6"/>
    <x v="3"/>
    <x v="1"/>
    <n v="27.922411590436401"/>
    <n v="2E+20"/>
    <n v="0"/>
    <n v="62"/>
    <n v="0"/>
    <n v="0"/>
    <s v="Unnamed ProjectRFID Validation Boys Entrance.QueueNumber WaitingQueue"/>
    <n v="1"/>
    <n v="27.922411590436401"/>
    <n v="0"/>
    <n v="0.95"/>
    <n v="4E+20"/>
    <n v="27.922411590436401"/>
    <n v="27.922411590436401"/>
    <n v="2E+20"/>
  </r>
  <r>
    <x v="0"/>
    <s v="2024-10-29 21:08:59"/>
    <n v="1"/>
    <x v="7"/>
    <x v="3"/>
    <x v="1"/>
    <n v="0.35338754242790998"/>
    <n v="2E+20"/>
    <n v="0"/>
    <n v="7"/>
    <n v="0"/>
    <n v="0"/>
    <s v="Unnamed ProjectRFID Validation Emergency Boys.QueueNumber WaitingQueue"/>
    <n v="1"/>
    <n v="0.35338754242790998"/>
    <n v="0"/>
    <n v="0.95"/>
    <n v="4E+20"/>
    <n v="0.35338754242790998"/>
    <n v="0.35338754242790998"/>
    <n v="2E+20"/>
  </r>
  <r>
    <x v="0"/>
    <s v="2024-10-29 21:08:59"/>
    <n v="1"/>
    <x v="8"/>
    <x v="3"/>
    <x v="1"/>
    <n v="0.30824220559363602"/>
    <n v="2E+20"/>
    <n v="0"/>
    <n v="5"/>
    <n v="0"/>
    <n v="0"/>
    <s v="Unnamed ProjectRFID Validation Emergency Girls.QueueNumber WaitingQueue"/>
    <n v="1"/>
    <n v="0.30824220559363602"/>
    <n v="0"/>
    <n v="0.95"/>
    <n v="4E+20"/>
    <n v="0.30824220559363602"/>
    <n v="0.30824220559363602"/>
    <n v="2E+20"/>
  </r>
  <r>
    <x v="0"/>
    <s v="2024-10-29 21:08:59"/>
    <n v="1"/>
    <x v="9"/>
    <x v="3"/>
    <x v="1"/>
    <n v="9.9588661909671305"/>
    <n v="2E+20"/>
    <n v="0"/>
    <n v="22"/>
    <n v="0"/>
    <n v="0"/>
    <s v="Unnamed ProjectRFID Validation Girls Entrance.QueueNumber WaitingQueue"/>
    <n v="1"/>
    <n v="9.9588661909671305"/>
    <n v="0"/>
    <n v="0.95"/>
    <n v="4E+20"/>
    <n v="9.9588661909671305"/>
    <n v="9.9588661909671305"/>
    <n v="2E+20"/>
  </r>
  <r>
    <x v="0"/>
    <s v="2024-10-29 21:08:59"/>
    <n v="1"/>
    <x v="10"/>
    <x v="3"/>
    <x v="1"/>
    <n v="0"/>
    <n v="2E+20"/>
    <n v="0"/>
    <n v="0"/>
    <n v="0"/>
    <n v="0"/>
    <s v="Unnamed ProjectRFID Validation.QueueNumber WaitingQueue"/>
    <n v="1"/>
    <n v="0"/>
    <n v="0"/>
    <n v="0.95"/>
    <n v="4E+20"/>
    <n v="0"/>
    <n v="0"/>
    <n v="2E+20"/>
  </r>
  <r>
    <x v="0"/>
    <s v="2024-10-29 21:08:59"/>
    <n v="1"/>
    <x v="11"/>
    <x v="4"/>
    <x v="2"/>
    <n v="42.481597933151399"/>
    <n v="2E+20"/>
    <n v="0"/>
    <n v="85"/>
    <n v="0"/>
    <n v="0"/>
    <s v="Unnamed ProjectStudentWIPEntity"/>
    <n v="1"/>
    <n v="42.481597933151399"/>
    <n v="0"/>
    <n v="0.95"/>
    <n v="4E+20"/>
    <n v="42.481597933151399"/>
    <n v="42.481597933151399"/>
    <n v="2E+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4-10-29 21:08:59"/>
    <n v="1"/>
    <x v="0"/>
    <x v="0"/>
    <x v="0"/>
    <n v="5.4648446909036801E-2"/>
    <n v="2E+20"/>
    <n v="0"/>
    <n v="0.124252474548387"/>
    <n v="300"/>
    <s v="Unnamed ProjectRFID Validation Boys Entrance.QueueWaiting TimeQueue"/>
    <n v="1"/>
    <n v="5.4648446909036801E-2"/>
    <n v="0"/>
    <n v="0.95"/>
    <n v="4E+20"/>
    <n v="5.4648446909036801E-2"/>
    <n v="5.4648446909036801E-2"/>
    <n v="0"/>
    <n v="0.124252474548387"/>
    <n v="300"/>
    <n v="2E+20"/>
    <n v="1"/>
    <n v="1"/>
  </r>
  <r>
    <x v="0"/>
    <s v="2024-10-29 21:08:59"/>
    <n v="1"/>
    <x v="1"/>
    <x v="0"/>
    <x v="0"/>
    <n v="6.9163368243239801E-4"/>
    <n v="2E+20"/>
    <n v="0"/>
    <n v="4.8975330956423898E-3"/>
    <n v="300"/>
    <s v="Unnamed ProjectRFID Validation Emergency Boys.QueueWaiting TimeQueue"/>
    <n v="1"/>
    <n v="6.9163368243239801E-4"/>
    <n v="0"/>
    <n v="0.95"/>
    <n v="4E+20"/>
    <n v="6.9163368243239801E-4"/>
    <n v="6.9163368243239801E-4"/>
    <n v="0"/>
    <n v="4.8975330956423898E-3"/>
    <n v="300"/>
    <n v="2E+20"/>
    <n v="1"/>
    <n v="1"/>
  </r>
  <r>
    <x v="0"/>
    <s v="2024-10-29 21:08:59"/>
    <n v="1"/>
    <x v="2"/>
    <x v="0"/>
    <x v="0"/>
    <n v="6.0327732627785396E-4"/>
    <n v="2E+20"/>
    <n v="0"/>
    <n v="5.2329996055301402E-3"/>
    <n v="300"/>
    <s v="Unnamed ProjectRFID Validation Emergency Girls.QueueWaiting TimeQueue"/>
    <n v="1"/>
    <n v="6.0327732627785396E-4"/>
    <n v="0"/>
    <n v="0.95"/>
    <n v="4E+20"/>
    <n v="6.0327732627785396E-4"/>
    <n v="6.0327732627785396E-4"/>
    <n v="0"/>
    <n v="5.2329996055301402E-3"/>
    <n v="300"/>
    <n v="2E+20"/>
    <n v="1"/>
    <n v="1"/>
  </r>
  <r>
    <x v="0"/>
    <s v="2024-10-29 21:08:59"/>
    <n v="1"/>
    <x v="3"/>
    <x v="0"/>
    <x v="0"/>
    <n v="1.9491030298316801E-2"/>
    <n v="2E+20"/>
    <n v="0"/>
    <n v="4.21506392623524E-2"/>
    <n v="300"/>
    <s v="Unnamed ProjectRFID Validation Girls Entrance.QueueWaiting TimeQueue"/>
    <n v="1"/>
    <n v="1.9491030298316801E-2"/>
    <n v="0"/>
    <n v="0.95"/>
    <n v="4E+20"/>
    <n v="1.9491030298316801E-2"/>
    <n v="1.9491030298316801E-2"/>
    <n v="0"/>
    <n v="4.21506392623524E-2"/>
    <n v="300"/>
    <n v="2E+20"/>
    <n v="1"/>
    <n v="1"/>
  </r>
  <r>
    <x v="0"/>
    <s v="2024-10-29 21:08:59"/>
    <n v="1"/>
    <x v="4"/>
    <x v="1"/>
    <x v="1"/>
    <n v="0"/>
    <n v="0"/>
    <n v="0"/>
    <n v="0"/>
    <n v="1200"/>
    <s v="Unnamed ProjectStudentNVA TimeEntity"/>
    <n v="1"/>
    <n v="0"/>
    <n v="0"/>
    <n v="0.95"/>
    <n v="4E+20"/>
    <n v="0"/>
    <n v="0"/>
    <n v="0"/>
    <n v="0"/>
    <n v="1200"/>
    <n v="0"/>
    <n v="1"/>
    <n v="1"/>
  </r>
  <r>
    <x v="0"/>
    <s v="2024-10-29 21:08:59"/>
    <n v="1"/>
    <x v="4"/>
    <x v="2"/>
    <x v="1"/>
    <n v="0"/>
    <n v="0"/>
    <n v="0"/>
    <n v="0"/>
    <n v="1200"/>
    <s v="Unnamed ProjectStudentOther TimeEntity"/>
    <n v="1"/>
    <n v="0"/>
    <n v="0"/>
    <n v="0.95"/>
    <n v="4E+20"/>
    <n v="0"/>
    <n v="0"/>
    <n v="0"/>
    <n v="0"/>
    <n v="1200"/>
    <n v="0"/>
    <n v="1"/>
    <n v="1"/>
  </r>
  <r>
    <x v="0"/>
    <s v="2024-10-29 21:08:59"/>
    <n v="1"/>
    <x v="4"/>
    <x v="3"/>
    <x v="1"/>
    <n v="2.0785752528410001E-2"/>
    <n v="3E+20"/>
    <n v="9.5018675193941904E-4"/>
    <n v="0.12622906639606901"/>
    <n v="1200"/>
    <s v="Unnamed ProjectStudentTotal TimeEntity"/>
    <n v="1"/>
    <n v="2.0785752528410001E-2"/>
    <n v="0"/>
    <n v="0.95"/>
    <n v="4E+20"/>
    <n v="2.0785752528410001E-2"/>
    <n v="2.0785752528410001E-2"/>
    <n v="9.5018675193941904E-4"/>
    <n v="0.12622906639606901"/>
    <n v="1200"/>
    <n v="3E+20"/>
    <n v="1"/>
    <n v="1"/>
  </r>
  <r>
    <x v="0"/>
    <s v="2024-10-29 21:08:59"/>
    <n v="1"/>
    <x v="4"/>
    <x v="4"/>
    <x v="1"/>
    <n v="0"/>
    <n v="0"/>
    <n v="0"/>
    <n v="0"/>
    <n v="1200"/>
    <s v="Unnamed ProjectStudentTransfer TimeEntity"/>
    <n v="1"/>
    <n v="0"/>
    <n v="0"/>
    <n v="0.95"/>
    <n v="4E+20"/>
    <n v="0"/>
    <n v="0"/>
    <n v="0"/>
    <n v="0"/>
    <n v="1200"/>
    <n v="0"/>
    <n v="1"/>
    <n v="1"/>
  </r>
  <r>
    <x v="0"/>
    <s v="2024-10-29 21:08:59"/>
    <n v="1"/>
    <x v="4"/>
    <x v="5"/>
    <x v="1"/>
    <n v="1.92715547439402E-3"/>
    <n v="2.7832622268447999E-5"/>
    <n v="9.0312903262201904E-4"/>
    <n v="3.2585954319556002E-3"/>
    <n v="1200"/>
    <s v="Unnamed ProjectStudentVA TimeEntity"/>
    <n v="1"/>
    <n v="1.92715547439402E-3"/>
    <n v="0"/>
    <n v="0.95"/>
    <n v="4E+20"/>
    <n v="1.92715547439402E-3"/>
    <n v="1.92715547439402E-3"/>
    <n v="9.0312903262201904E-4"/>
    <n v="3.2585954319556002E-3"/>
    <n v="1200"/>
    <n v="2.7832622268447999E-5"/>
    <n v="1"/>
    <n v="1"/>
  </r>
  <r>
    <x v="0"/>
    <s v="2024-10-29 21:08:59"/>
    <n v="1"/>
    <x v="4"/>
    <x v="6"/>
    <x v="1"/>
    <n v="1.8858597054016001E-2"/>
    <n v="3E+20"/>
    <n v="0"/>
    <n v="0.124252474548387"/>
    <n v="1200"/>
    <s v="Unnamed ProjectStudentWait TimeEntity"/>
    <n v="1"/>
    <n v="1.8858597054016001E-2"/>
    <n v="0"/>
    <n v="0.95"/>
    <n v="4E+20"/>
    <n v="1.8858597054016001E-2"/>
    <n v="1.8858597054016001E-2"/>
    <n v="0"/>
    <n v="0.124252474548387"/>
    <n v="1200"/>
    <n v="3E+2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3">
        <item m="1" x="40"/>
        <item m="1" x="16"/>
        <item m="1" x="41"/>
        <item m="1" x="17"/>
        <item m="1" x="42"/>
        <item m="1" x="18"/>
        <item m="1" x="43"/>
        <item m="1" x="19"/>
        <item m="1" x="75"/>
        <item m="1" x="30"/>
        <item x="14"/>
        <item m="1" x="74"/>
        <item m="1" x="61"/>
        <item m="1" x="78"/>
        <item m="1" x="63"/>
        <item m="1" x="79"/>
        <item m="1" x="86"/>
        <item m="1" x="55"/>
        <item m="1" x="23"/>
        <item m="1" x="72"/>
        <item m="1" x="62"/>
        <item m="1" x="60"/>
        <item m="1" x="26"/>
        <item m="1" x="70"/>
        <item m="1" x="35"/>
        <item m="1" x="71"/>
        <item m="1" x="36"/>
        <item m="1" x="69"/>
        <item m="1" x="89"/>
        <item m="1" x="29"/>
        <item m="1" x="92"/>
        <item m="1" x="57"/>
        <item m="1" x="24"/>
        <item m="1" x="87"/>
        <item m="1" x="82"/>
        <item m="1" x="58"/>
        <item m="1" x="25"/>
        <item m="1" x="88"/>
        <item m="1" x="83"/>
        <item m="1" x="20"/>
        <item m="1" x="54"/>
        <item m="1" x="38"/>
        <item m="1" x="28"/>
        <item m="1" x="80"/>
        <item m="1" x="50"/>
        <item m="1" x="81"/>
        <item m="1" x="51"/>
        <item m="1" x="37"/>
        <item m="1" x="32"/>
        <item m="1" x="59"/>
        <item m="1" x="34"/>
        <item m="1" x="91"/>
        <item m="1" x="84"/>
        <item m="1" x="33"/>
        <item m="1" x="31"/>
        <item m="1" x="76"/>
        <item m="1" x="85"/>
        <item m="1" x="21"/>
        <item m="1" x="39"/>
        <item m="1" x="52"/>
        <item m="1" x="73"/>
        <item m="1" x="90"/>
        <item m="1" x="22"/>
        <item m="1" x="49"/>
        <item m="1" x="53"/>
        <item m="1" x="77"/>
        <item m="1" x="56"/>
        <item m="1" x="27"/>
        <item m="1" x="44"/>
        <item m="1" x="64"/>
        <item m="1" x="45"/>
        <item m="1" x="65"/>
        <item m="1" x="46"/>
        <item m="1" x="66"/>
        <item m="1" x="47"/>
        <item m="1" x="67"/>
        <item m="1" x="48"/>
        <item m="1" x="68"/>
        <item m="1"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/>
      <x/>
    </i>
    <i r="1">
      <x v="9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6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6">
        <item m="1" x="27"/>
        <item m="1" x="18"/>
        <item m="1" x="34"/>
        <item m="1" x="43"/>
        <item m="1" x="56"/>
        <item m="1" x="55"/>
        <item m="1" x="19"/>
        <item m="1" x="120"/>
        <item m="1" x="98"/>
        <item m="1" x="61"/>
        <item m="1" x="48"/>
        <item m="1" x="52"/>
        <item m="1" x="134"/>
        <item m="1" x="37"/>
        <item m="1" x="119"/>
        <item m="1" x="41"/>
        <item m="1" x="92"/>
        <item m="1" x="106"/>
        <item m="1" x="16"/>
        <item m="1" x="42"/>
        <item m="1" x="129"/>
        <item m="1" x="31"/>
        <item m="1" x="121"/>
        <item m="1" x="20"/>
        <item m="1" x="47"/>
        <item m="1" x="73"/>
        <item m="1" x="17"/>
        <item m="1" x="23"/>
        <item m="1" x="93"/>
        <item m="1" x="74"/>
        <item m="1" x="108"/>
        <item m="1" x="64"/>
        <item m="1" x="28"/>
        <item m="1" x="58"/>
        <item m="1" x="94"/>
        <item m="1" x="79"/>
        <item m="1" x="29"/>
        <item m="1" x="39"/>
        <item m="1" x="101"/>
        <item m="1" x="15"/>
        <item m="1" x="128"/>
        <item m="1" x="86"/>
        <item m="1" x="26"/>
        <item m="1" x="111"/>
        <item m="1" x="57"/>
        <item m="1" x="130"/>
        <item m="1" x="91"/>
        <item m="1" x="33"/>
        <item m="1" x="78"/>
        <item m="1" x="97"/>
        <item m="1" x="110"/>
        <item m="1" x="118"/>
        <item m="1" x="127"/>
        <item m="1" x="14"/>
        <item m="1" x="32"/>
        <item m="1" x="46"/>
        <item m="1" x="35"/>
        <item m="1" x="13"/>
        <item m="1" x="107"/>
        <item m="1" x="124"/>
        <item m="1" x="50"/>
        <item m="1" x="85"/>
        <item m="1" x="38"/>
        <item m="1" x="59"/>
        <item m="1" x="44"/>
        <item m="1" x="68"/>
        <item m="1" x="53"/>
        <item m="1" x="75"/>
        <item m="1" x="60"/>
        <item m="1" x="87"/>
        <item m="1" x="69"/>
        <item m="1" x="95"/>
        <item m="1" x="76"/>
        <item m="1" x="104"/>
        <item m="1" x="88"/>
        <item m="1" x="109"/>
        <item m="1" x="96"/>
        <item m="1" x="113"/>
        <item m="1" x="125"/>
        <item m="1" x="115"/>
        <item m="1" x="99"/>
        <item m="1" x="72"/>
        <item m="1" x="51"/>
        <item m="1" x="66"/>
        <item m="1" x="30"/>
        <item m="1" x="36"/>
        <item m="1" x="45"/>
        <item m="1" x="49"/>
        <item m="1" x="81"/>
        <item m="1" x="126"/>
        <item m="1" x="116"/>
        <item m="1" x="100"/>
        <item m="1" x="67"/>
        <item m="1" x="135"/>
        <item m="1" x="83"/>
        <item m="1" x="71"/>
        <item m="1" x="103"/>
        <item m="1" x="84"/>
        <item m="1" x="63"/>
        <item m="1" x="70"/>
        <item m="1" x="24"/>
        <item m="1" x="89"/>
        <item m="1" x="105"/>
        <item m="1" x="114"/>
        <item m="1" x="122"/>
        <item m="1" x="133"/>
        <item m="1" x="21"/>
        <item m="1" x="40"/>
        <item m="1" x="132"/>
        <item m="1" x="22"/>
        <item m="1" x="90"/>
        <item m="1" x="65"/>
        <item m="1" x="80"/>
        <item m="1" x="25"/>
        <item m="1" x="131"/>
        <item m="1" x="112"/>
        <item m="1" x="62"/>
        <item m="1" x="123"/>
        <item m="1" x="82"/>
        <item m="1" x="102"/>
        <item m="1" x="117"/>
        <item m="1" x="54"/>
        <item m="1" x="77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4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1" tableType="queryTable" totalsRowShown="0">
  <autoFilter ref="A1:Y11" xr:uid="{C3D003CA-1AFF-426C-A03D-D3AF5760DF1A}"/>
  <sortState xmlns:xlrd2="http://schemas.microsoft.com/office/spreadsheetml/2017/richdata2" ref="A2:Y11">
    <sortCondition ref="D1:D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5" tableType="queryTable" totalsRowShown="0">
  <autoFilter ref="A1:U2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6" tableType="queryTable" totalsRowShown="0">
  <autoFilter ref="A1:P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69</v>
      </c>
      <c r="C2" t="s">
        <v>70</v>
      </c>
      <c r="D2">
        <v>3</v>
      </c>
      <c r="E2">
        <v>1</v>
      </c>
      <c r="F2">
        <v>0.58714606435807504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6"/>
  <sheetViews>
    <sheetView workbookViewId="0">
      <selection activeCell="E15" sqref="E15"/>
    </sheetView>
  </sheetViews>
  <sheetFormatPr defaultRowHeight="14.4" x14ac:dyDescent="0.3"/>
  <cols>
    <col min="1" max="1" width="33.33203125" customWidth="1"/>
    <col min="2" max="2" width="28.6640625" bestFit="1" customWidth="1"/>
    <col min="3" max="3" width="14.21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67</v>
      </c>
      <c r="B3" t="s">
        <v>71</v>
      </c>
      <c r="C3" t="s">
        <v>72</v>
      </c>
      <c r="D3" t="s">
        <v>73</v>
      </c>
      <c r="E3" s="5">
        <v>5.4648446909036801E-2</v>
      </c>
      <c r="F3" s="5">
        <v>1</v>
      </c>
      <c r="G3" s="5">
        <v>2E+20</v>
      </c>
      <c r="H3" s="5">
        <v>0</v>
      </c>
      <c r="I3" s="5">
        <v>5.4648446909036801E-2</v>
      </c>
      <c r="J3" s="5">
        <v>5.4648446909036801E-2</v>
      </c>
      <c r="K3" s="5">
        <v>0</v>
      </c>
      <c r="L3" s="5">
        <v>0.124252474548387</v>
      </c>
      <c r="M3" s="5">
        <v>300</v>
      </c>
      <c r="O3" t="s">
        <v>67</v>
      </c>
      <c r="P3" t="s">
        <v>85</v>
      </c>
      <c r="Q3" t="s">
        <v>86</v>
      </c>
      <c r="R3" t="s">
        <v>87</v>
      </c>
      <c r="S3" s="5">
        <v>0.97507877392223596</v>
      </c>
      <c r="T3" s="5">
        <v>2E+20</v>
      </c>
      <c r="U3" s="5">
        <v>0</v>
      </c>
      <c r="V3" s="5">
        <v>0.97507877392223596</v>
      </c>
      <c r="W3" s="5">
        <v>0.97507877392223596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116</v>
      </c>
      <c r="AM3" t="s">
        <v>115</v>
      </c>
      <c r="AN3" t="s">
        <v>117</v>
      </c>
      <c r="AO3" s="5">
        <v>1200</v>
      </c>
      <c r="AP3" s="5">
        <v>4E+20</v>
      </c>
      <c r="AQ3" s="5">
        <v>0</v>
      </c>
      <c r="AR3" s="5">
        <v>1200</v>
      </c>
      <c r="AS3" s="5">
        <v>1200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">
      <c r="B4" t="s">
        <v>74</v>
      </c>
      <c r="C4" t="s">
        <v>72</v>
      </c>
      <c r="D4" t="s">
        <v>73</v>
      </c>
      <c r="E4" s="5">
        <v>6.9163368243239801E-4</v>
      </c>
      <c r="F4" s="5">
        <v>1</v>
      </c>
      <c r="G4" s="5">
        <v>2E+20</v>
      </c>
      <c r="H4" s="5">
        <v>0</v>
      </c>
      <c r="I4" s="5">
        <v>6.9163368243239801E-4</v>
      </c>
      <c r="J4" s="5">
        <v>6.9163368243239801E-4</v>
      </c>
      <c r="K4" s="5">
        <v>0</v>
      </c>
      <c r="L4" s="5">
        <v>4.8975330956423898E-3</v>
      </c>
      <c r="M4" s="5">
        <v>300</v>
      </c>
      <c r="Q4" t="s">
        <v>88</v>
      </c>
      <c r="R4" t="s">
        <v>87</v>
      </c>
      <c r="S4" s="5">
        <v>0.97507877392223596</v>
      </c>
      <c r="T4" s="5">
        <v>2E+20</v>
      </c>
      <c r="U4" s="5">
        <v>0</v>
      </c>
      <c r="V4" s="5">
        <v>0.97507877392223596</v>
      </c>
      <c r="W4" s="5">
        <v>0.97507877392223596</v>
      </c>
      <c r="X4" s="5">
        <v>0</v>
      </c>
      <c r="Y4" s="5">
        <v>1</v>
      </c>
      <c r="AL4" t="s">
        <v>98</v>
      </c>
      <c r="AM4" t="s">
        <v>99</v>
      </c>
      <c r="AN4" t="s">
        <v>87</v>
      </c>
      <c r="AO4" s="5">
        <v>300</v>
      </c>
      <c r="AP4" s="5">
        <v>4E+20</v>
      </c>
      <c r="AQ4" s="5">
        <v>0</v>
      </c>
      <c r="AR4" s="5">
        <v>300</v>
      </c>
      <c r="AS4" s="5">
        <v>300</v>
      </c>
    </row>
    <row r="5" spans="1:52" x14ac:dyDescent="0.3">
      <c r="B5" t="s">
        <v>75</v>
      </c>
      <c r="C5" t="s">
        <v>72</v>
      </c>
      <c r="D5" t="s">
        <v>73</v>
      </c>
      <c r="E5" s="5">
        <v>6.0327732627785396E-4</v>
      </c>
      <c r="F5" s="5">
        <v>1</v>
      </c>
      <c r="G5" s="5">
        <v>2E+20</v>
      </c>
      <c r="H5" s="5">
        <v>0</v>
      </c>
      <c r="I5" s="5">
        <v>6.0327732627785396E-4</v>
      </c>
      <c r="J5" s="5">
        <v>6.0327732627785396E-4</v>
      </c>
      <c r="K5" s="5">
        <v>0</v>
      </c>
      <c r="L5" s="5">
        <v>5.2329996055301402E-3</v>
      </c>
      <c r="M5" s="5">
        <v>300</v>
      </c>
      <c r="Q5" t="s">
        <v>89</v>
      </c>
      <c r="R5" t="s">
        <v>87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100</v>
      </c>
      <c r="AM5" t="s">
        <v>101</v>
      </c>
      <c r="AN5" t="s">
        <v>87</v>
      </c>
      <c r="AO5" s="5">
        <v>0.97507877392223596</v>
      </c>
      <c r="AP5" s="5">
        <v>4E+20</v>
      </c>
      <c r="AQ5" s="5">
        <v>0</v>
      </c>
      <c r="AR5" s="5">
        <v>0.97507877392223596</v>
      </c>
      <c r="AS5" s="5">
        <v>0.97507877392223596</v>
      </c>
    </row>
    <row r="6" spans="1:52" x14ac:dyDescent="0.3">
      <c r="B6" t="s">
        <v>76</v>
      </c>
      <c r="C6" t="s">
        <v>72</v>
      </c>
      <c r="D6" t="s">
        <v>73</v>
      </c>
      <c r="E6" s="5">
        <v>1.9491030298316801E-2</v>
      </c>
      <c r="F6" s="5">
        <v>1</v>
      </c>
      <c r="G6" s="5">
        <v>2E+20</v>
      </c>
      <c r="H6" s="5">
        <v>0</v>
      </c>
      <c r="I6" s="5">
        <v>1.9491030298316801E-2</v>
      </c>
      <c r="J6" s="5">
        <v>1.9491030298316801E-2</v>
      </c>
      <c r="K6" s="5">
        <v>0</v>
      </c>
      <c r="L6" s="5">
        <v>4.21506392623524E-2</v>
      </c>
      <c r="M6" s="5">
        <v>300</v>
      </c>
      <c r="P6" t="s">
        <v>90</v>
      </c>
      <c r="Q6" t="s">
        <v>86</v>
      </c>
      <c r="R6" t="s">
        <v>87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102</v>
      </c>
      <c r="AM6" t="s">
        <v>99</v>
      </c>
      <c r="AN6" t="s">
        <v>87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3">
      <c r="B7" t="s">
        <v>77</v>
      </c>
      <c r="C7" t="s">
        <v>78</v>
      </c>
      <c r="D7" t="s">
        <v>79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1200</v>
      </c>
      <c r="Q7" t="s">
        <v>88</v>
      </c>
      <c r="R7" t="s">
        <v>87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103</v>
      </c>
      <c r="AM7" t="s">
        <v>101</v>
      </c>
      <c r="AN7" t="s">
        <v>87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3">
      <c r="C8" t="s">
        <v>80</v>
      </c>
      <c r="D8" t="s">
        <v>79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1200</v>
      </c>
      <c r="Q8" t="s">
        <v>89</v>
      </c>
      <c r="R8" t="s">
        <v>87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104</v>
      </c>
      <c r="AM8" t="s">
        <v>99</v>
      </c>
      <c r="AN8" t="s">
        <v>87</v>
      </c>
      <c r="AO8" s="5">
        <v>300</v>
      </c>
      <c r="AP8" s="5">
        <v>4E+20</v>
      </c>
      <c r="AQ8" s="5">
        <v>0</v>
      </c>
      <c r="AR8" s="5">
        <v>300</v>
      </c>
      <c r="AS8" s="5">
        <v>300</v>
      </c>
    </row>
    <row r="9" spans="1:52" x14ac:dyDescent="0.3">
      <c r="C9" t="s">
        <v>81</v>
      </c>
      <c r="D9" t="s">
        <v>79</v>
      </c>
      <c r="E9" s="5">
        <v>2.0785752528410001E-2</v>
      </c>
      <c r="F9" s="5">
        <v>1</v>
      </c>
      <c r="G9" s="5">
        <v>3E+20</v>
      </c>
      <c r="H9" s="5">
        <v>0</v>
      </c>
      <c r="I9" s="5">
        <v>2.0785752528410001E-2</v>
      </c>
      <c r="J9" s="5">
        <v>2.0785752528410001E-2</v>
      </c>
      <c r="K9" s="5">
        <v>9.5018675193941904E-4</v>
      </c>
      <c r="L9" s="5">
        <v>0.12622906639606901</v>
      </c>
      <c r="M9" s="5">
        <v>1200</v>
      </c>
      <c r="P9" t="s">
        <v>91</v>
      </c>
      <c r="Q9" t="s">
        <v>86</v>
      </c>
      <c r="R9" t="s">
        <v>87</v>
      </c>
      <c r="S9" s="5">
        <v>0.50181576809681605</v>
      </c>
      <c r="T9" s="5">
        <v>2E+20</v>
      </c>
      <c r="U9" s="5">
        <v>0</v>
      </c>
      <c r="V9" s="5">
        <v>0.50181576809681605</v>
      </c>
      <c r="W9" s="5">
        <v>0.50181576809681605</v>
      </c>
      <c r="X9" s="5">
        <v>0</v>
      </c>
      <c r="Y9" s="5">
        <v>1</v>
      </c>
      <c r="AL9" t="s">
        <v>105</v>
      </c>
      <c r="AM9" t="s">
        <v>101</v>
      </c>
      <c r="AN9" t="s">
        <v>87</v>
      </c>
      <c r="AO9" s="5">
        <v>0.50181576809681605</v>
      </c>
      <c r="AP9" s="5">
        <v>4E+20</v>
      </c>
      <c r="AQ9" s="5">
        <v>0</v>
      </c>
      <c r="AR9" s="5">
        <v>0.50181576809681605</v>
      </c>
      <c r="AS9" s="5">
        <v>0.50181576809681605</v>
      </c>
    </row>
    <row r="10" spans="1:52" x14ac:dyDescent="0.3">
      <c r="C10" t="s">
        <v>82</v>
      </c>
      <c r="D10" t="s">
        <v>79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1200</v>
      </c>
      <c r="Q10" t="s">
        <v>88</v>
      </c>
      <c r="R10" t="s">
        <v>87</v>
      </c>
      <c r="S10" s="5">
        <v>1.0036315361936301</v>
      </c>
      <c r="T10" s="5">
        <v>2E+20</v>
      </c>
      <c r="U10" s="5">
        <v>0</v>
      </c>
      <c r="V10" s="5">
        <v>1.0036315361936301</v>
      </c>
      <c r="W10" s="5">
        <v>1.0036315361936301</v>
      </c>
      <c r="X10" s="5">
        <v>0</v>
      </c>
      <c r="Y10" s="5">
        <v>2</v>
      </c>
      <c r="AL10" t="s">
        <v>106</v>
      </c>
      <c r="AM10" t="s">
        <v>99</v>
      </c>
      <c r="AN10" t="s">
        <v>87</v>
      </c>
      <c r="AO10" s="5">
        <v>300</v>
      </c>
      <c r="AP10" s="5">
        <v>4E+20</v>
      </c>
      <c r="AQ10" s="5">
        <v>0</v>
      </c>
      <c r="AR10" s="5">
        <v>300</v>
      </c>
      <c r="AS10" s="5">
        <v>300</v>
      </c>
    </row>
    <row r="11" spans="1:52" x14ac:dyDescent="0.3">
      <c r="C11" t="s">
        <v>83</v>
      </c>
      <c r="D11" t="s">
        <v>79</v>
      </c>
      <c r="E11" s="5">
        <v>1.92715547439402E-3</v>
      </c>
      <c r="F11" s="5">
        <v>1</v>
      </c>
      <c r="G11" s="5">
        <v>2.7832622268447999E-5</v>
      </c>
      <c r="H11" s="5">
        <v>0</v>
      </c>
      <c r="I11" s="5">
        <v>1.92715547439402E-3</v>
      </c>
      <c r="J11" s="5">
        <v>1.92715547439402E-3</v>
      </c>
      <c r="K11" s="5">
        <v>9.0312903262201904E-4</v>
      </c>
      <c r="L11" s="5">
        <v>3.2585954319556002E-3</v>
      </c>
      <c r="M11" s="5">
        <v>1200</v>
      </c>
      <c r="Q11" t="s">
        <v>89</v>
      </c>
      <c r="R11" t="s">
        <v>87</v>
      </c>
      <c r="S11" s="5">
        <v>2</v>
      </c>
      <c r="T11" s="5">
        <v>2E+20</v>
      </c>
      <c r="U11" s="5">
        <v>0</v>
      </c>
      <c r="V11" s="5">
        <v>2</v>
      </c>
      <c r="W11" s="5">
        <v>2</v>
      </c>
      <c r="X11" s="5">
        <v>2</v>
      </c>
      <c r="Y11" s="5">
        <v>2</v>
      </c>
      <c r="AL11" t="s">
        <v>107</v>
      </c>
      <c r="AM11" t="s">
        <v>101</v>
      </c>
      <c r="AN11" t="s">
        <v>87</v>
      </c>
      <c r="AO11" s="5">
        <v>0.49266821744608003</v>
      </c>
      <c r="AP11" s="5">
        <v>4E+20</v>
      </c>
      <c r="AQ11" s="5">
        <v>0</v>
      </c>
      <c r="AR11" s="5">
        <v>0.49266821744608003</v>
      </c>
      <c r="AS11" s="5">
        <v>0.49266821744608003</v>
      </c>
    </row>
    <row r="12" spans="1:52" x14ac:dyDescent="0.3">
      <c r="C12" t="s">
        <v>84</v>
      </c>
      <c r="D12" t="s">
        <v>79</v>
      </c>
      <c r="E12" s="5">
        <v>1.8858597054016001E-2</v>
      </c>
      <c r="F12" s="5">
        <v>1</v>
      </c>
      <c r="G12" s="5">
        <v>3E+20</v>
      </c>
      <c r="H12" s="5">
        <v>0</v>
      </c>
      <c r="I12" s="5">
        <v>1.8858597054016001E-2</v>
      </c>
      <c r="J12" s="5">
        <v>1.8858597054016001E-2</v>
      </c>
      <c r="K12" s="5">
        <v>0</v>
      </c>
      <c r="L12" s="5">
        <v>0.124252474548387</v>
      </c>
      <c r="M12" s="5">
        <v>1200</v>
      </c>
      <c r="P12" t="s">
        <v>92</v>
      </c>
      <c r="Q12" t="s">
        <v>86</v>
      </c>
      <c r="R12" t="s">
        <v>87</v>
      </c>
      <c r="S12" s="5">
        <v>0.49266821744608003</v>
      </c>
      <c r="T12" s="5">
        <v>2E+20</v>
      </c>
      <c r="U12" s="5">
        <v>0</v>
      </c>
      <c r="V12" s="5">
        <v>0.49266821744608003</v>
      </c>
      <c r="W12" s="5">
        <v>0.49266821744608003</v>
      </c>
      <c r="X12" s="5">
        <v>0</v>
      </c>
      <c r="Y12" s="5">
        <v>1</v>
      </c>
      <c r="AL12" t="s">
        <v>108</v>
      </c>
      <c r="AM12" t="s">
        <v>99</v>
      </c>
      <c r="AN12" t="s">
        <v>87</v>
      </c>
      <c r="AO12" s="5">
        <v>300</v>
      </c>
      <c r="AP12" s="5">
        <v>4E+20</v>
      </c>
      <c r="AQ12" s="5">
        <v>0</v>
      </c>
      <c r="AR12" s="5">
        <v>300</v>
      </c>
      <c r="AS12" s="5">
        <v>300</v>
      </c>
    </row>
    <row r="13" spans="1:52" x14ac:dyDescent="0.3">
      <c r="Q13" t="s">
        <v>88</v>
      </c>
      <c r="R13" t="s">
        <v>87</v>
      </c>
      <c r="S13" s="5">
        <v>0.98533643489216005</v>
      </c>
      <c r="T13" s="5">
        <v>2E+20</v>
      </c>
      <c r="U13" s="5">
        <v>0</v>
      </c>
      <c r="V13" s="5">
        <v>0.98533643489216005</v>
      </c>
      <c r="W13" s="5">
        <v>0.98533643489216005</v>
      </c>
      <c r="X13" s="5">
        <v>0</v>
      </c>
      <c r="Y13" s="5">
        <v>2</v>
      </c>
      <c r="AL13" t="s">
        <v>109</v>
      </c>
      <c r="AM13" t="s">
        <v>101</v>
      </c>
      <c r="AN13" t="s">
        <v>87</v>
      </c>
      <c r="AO13" s="5">
        <v>0.97464365871828096</v>
      </c>
      <c r="AP13" s="5">
        <v>4E+20</v>
      </c>
      <c r="AQ13" s="5">
        <v>0</v>
      </c>
      <c r="AR13" s="5">
        <v>0.97464365871828096</v>
      </c>
      <c r="AS13" s="5">
        <v>0.97464365871828096</v>
      </c>
    </row>
    <row r="14" spans="1:52" x14ac:dyDescent="0.3">
      <c r="Q14" t="s">
        <v>89</v>
      </c>
      <c r="R14" t="s">
        <v>87</v>
      </c>
      <c r="S14" s="5">
        <v>2</v>
      </c>
      <c r="T14" s="5">
        <v>2E+20</v>
      </c>
      <c r="U14" s="5">
        <v>0</v>
      </c>
      <c r="V14" s="5">
        <v>2</v>
      </c>
      <c r="W14" s="5">
        <v>2</v>
      </c>
      <c r="X14" s="5">
        <v>2</v>
      </c>
      <c r="Y14" s="5">
        <v>2</v>
      </c>
      <c r="AL14" t="s">
        <v>110</v>
      </c>
      <c r="AM14" t="s">
        <v>99</v>
      </c>
      <c r="AN14" t="s">
        <v>87</v>
      </c>
      <c r="AO14" s="5">
        <v>0</v>
      </c>
      <c r="AP14" s="5">
        <v>4E+20</v>
      </c>
      <c r="AQ14" s="5">
        <v>0</v>
      </c>
      <c r="AR14" s="5">
        <v>0</v>
      </c>
      <c r="AS14" s="5">
        <v>0</v>
      </c>
    </row>
    <row r="15" spans="1:52" x14ac:dyDescent="0.3">
      <c r="P15" t="s">
        <v>93</v>
      </c>
      <c r="Q15" t="s">
        <v>86</v>
      </c>
      <c r="R15" t="s">
        <v>87</v>
      </c>
      <c r="S15" s="5">
        <v>0.97464365871828096</v>
      </c>
      <c r="T15" s="5">
        <v>2E+20</v>
      </c>
      <c r="U15" s="5">
        <v>0</v>
      </c>
      <c r="V15" s="5">
        <v>0.97464365871828096</v>
      </c>
      <c r="W15" s="5">
        <v>0.97464365871828096</v>
      </c>
      <c r="X15" s="5">
        <v>0</v>
      </c>
      <c r="Y15" s="5">
        <v>1</v>
      </c>
      <c r="AL15" t="s">
        <v>111</v>
      </c>
      <c r="AM15" t="s">
        <v>101</v>
      </c>
      <c r="AN15" t="s">
        <v>87</v>
      </c>
      <c r="AO15" s="5">
        <v>0</v>
      </c>
      <c r="AP15" s="5">
        <v>4E+20</v>
      </c>
      <c r="AQ15" s="5">
        <v>0</v>
      </c>
      <c r="AR15" s="5">
        <v>0</v>
      </c>
      <c r="AS15" s="5">
        <v>0</v>
      </c>
    </row>
    <row r="16" spans="1:52" x14ac:dyDescent="0.3">
      <c r="Q16" t="s">
        <v>88</v>
      </c>
      <c r="R16" t="s">
        <v>87</v>
      </c>
      <c r="S16" s="5">
        <v>0.97464365871828096</v>
      </c>
      <c r="T16" s="5">
        <v>2E+20</v>
      </c>
      <c r="U16" s="5">
        <v>0</v>
      </c>
      <c r="V16" s="5">
        <v>0.97464365871828096</v>
      </c>
      <c r="W16" s="5">
        <v>0.97464365871828096</v>
      </c>
      <c r="X16" s="5">
        <v>0</v>
      </c>
      <c r="Y16" s="5">
        <v>1</v>
      </c>
      <c r="AL16" t="s">
        <v>112</v>
      </c>
      <c r="AM16" t="s">
        <v>113</v>
      </c>
      <c r="AN16" t="s">
        <v>79</v>
      </c>
      <c r="AO16" s="5">
        <v>1200</v>
      </c>
      <c r="AP16" s="5">
        <v>4E+20</v>
      </c>
      <c r="AQ16" s="5">
        <v>0</v>
      </c>
      <c r="AR16" s="5">
        <v>1200</v>
      </c>
      <c r="AS16" s="5">
        <v>1200</v>
      </c>
    </row>
    <row r="17" spans="16:45" x14ac:dyDescent="0.3">
      <c r="Q17" t="s">
        <v>89</v>
      </c>
      <c r="R17" t="s">
        <v>87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  <c r="AL17" t="s">
        <v>114</v>
      </c>
      <c r="AM17" t="s">
        <v>115</v>
      </c>
      <c r="AN17" t="s">
        <v>79</v>
      </c>
      <c r="AO17" s="5">
        <v>1200</v>
      </c>
      <c r="AP17" s="5">
        <v>4E+20</v>
      </c>
      <c r="AQ17" s="5">
        <v>0</v>
      </c>
      <c r="AR17" s="5">
        <v>1200</v>
      </c>
      <c r="AS17" s="5">
        <v>1200</v>
      </c>
    </row>
    <row r="18" spans="16:45" x14ac:dyDescent="0.3">
      <c r="P18" t="s">
        <v>94</v>
      </c>
      <c r="Q18" t="s">
        <v>86</v>
      </c>
      <c r="R18" t="s">
        <v>87</v>
      </c>
      <c r="S18" s="5">
        <v>0</v>
      </c>
      <c r="T18" s="5">
        <v>2E+20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</row>
    <row r="19" spans="16:45" x14ac:dyDescent="0.3">
      <c r="Q19" t="s">
        <v>88</v>
      </c>
      <c r="R19" t="s">
        <v>87</v>
      </c>
      <c r="S19" s="5">
        <v>0</v>
      </c>
      <c r="T19" s="5">
        <v>2E+20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</row>
    <row r="20" spans="16:45" x14ac:dyDescent="0.3">
      <c r="Q20" t="s">
        <v>89</v>
      </c>
      <c r="R20" t="s">
        <v>87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16:45" x14ac:dyDescent="0.3">
      <c r="P21" t="s">
        <v>71</v>
      </c>
      <c r="Q21" t="s">
        <v>95</v>
      </c>
      <c r="R21" t="s">
        <v>73</v>
      </c>
      <c r="S21" s="5">
        <v>27.922411590436401</v>
      </c>
      <c r="T21" s="5">
        <v>2E+20</v>
      </c>
      <c r="U21" s="5">
        <v>0</v>
      </c>
      <c r="V21" s="5">
        <v>27.922411590436401</v>
      </c>
      <c r="W21" s="5">
        <v>27.922411590436401</v>
      </c>
      <c r="X21" s="5">
        <v>0</v>
      </c>
      <c r="Y21" s="5">
        <v>62</v>
      </c>
    </row>
    <row r="22" spans="16:45" x14ac:dyDescent="0.3">
      <c r="P22" t="s">
        <v>74</v>
      </c>
      <c r="Q22" t="s">
        <v>95</v>
      </c>
      <c r="R22" t="s">
        <v>73</v>
      </c>
      <c r="S22" s="5">
        <v>0.35338754242790998</v>
      </c>
      <c r="T22" s="5">
        <v>2E+20</v>
      </c>
      <c r="U22" s="5">
        <v>0</v>
      </c>
      <c r="V22" s="5">
        <v>0.35338754242790998</v>
      </c>
      <c r="W22" s="5">
        <v>0.35338754242790998</v>
      </c>
      <c r="X22" s="5">
        <v>0</v>
      </c>
      <c r="Y22" s="5">
        <v>7</v>
      </c>
    </row>
    <row r="23" spans="16:45" x14ac:dyDescent="0.3">
      <c r="P23" t="s">
        <v>75</v>
      </c>
      <c r="Q23" t="s">
        <v>95</v>
      </c>
      <c r="R23" t="s">
        <v>73</v>
      </c>
      <c r="S23" s="5">
        <v>0.30824220559363602</v>
      </c>
      <c r="T23" s="5">
        <v>2E+20</v>
      </c>
      <c r="U23" s="5">
        <v>0</v>
      </c>
      <c r="V23" s="5">
        <v>0.30824220559363602</v>
      </c>
      <c r="W23" s="5">
        <v>0.30824220559363602</v>
      </c>
      <c r="X23" s="5">
        <v>0</v>
      </c>
      <c r="Y23" s="5">
        <v>5</v>
      </c>
    </row>
    <row r="24" spans="16:45" x14ac:dyDescent="0.3">
      <c r="P24" t="s">
        <v>76</v>
      </c>
      <c r="Q24" t="s">
        <v>95</v>
      </c>
      <c r="R24" t="s">
        <v>73</v>
      </c>
      <c r="S24" s="5">
        <v>9.9588661909671305</v>
      </c>
      <c r="T24" s="5">
        <v>2E+20</v>
      </c>
      <c r="U24" s="5">
        <v>0</v>
      </c>
      <c r="V24" s="5">
        <v>9.9588661909671305</v>
      </c>
      <c r="W24" s="5">
        <v>9.9588661909671305</v>
      </c>
      <c r="X24" s="5">
        <v>0</v>
      </c>
      <c r="Y24" s="5">
        <v>22</v>
      </c>
    </row>
    <row r="25" spans="16:45" x14ac:dyDescent="0.3">
      <c r="P25" t="s">
        <v>96</v>
      </c>
      <c r="Q25" t="s">
        <v>95</v>
      </c>
      <c r="R25" t="s">
        <v>73</v>
      </c>
      <c r="S25" s="5">
        <v>0</v>
      </c>
      <c r="T25" s="5">
        <v>2E+20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</row>
    <row r="26" spans="16:45" x14ac:dyDescent="0.3">
      <c r="P26" t="s">
        <v>77</v>
      </c>
      <c r="Q26" t="s">
        <v>97</v>
      </c>
      <c r="R26" t="s">
        <v>79</v>
      </c>
      <c r="S26" s="5">
        <v>42.481597933151399</v>
      </c>
      <c r="T26" s="5">
        <v>2E+20</v>
      </c>
      <c r="U26" s="5">
        <v>0</v>
      </c>
      <c r="V26" s="5">
        <v>42.481597933151399</v>
      </c>
      <c r="W26" s="5">
        <v>42.481597933151399</v>
      </c>
      <c r="X26" s="5">
        <v>0</v>
      </c>
      <c r="Y26" s="5">
        <v>85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26">
    <cfRule type="expression" dxfId="30" priority="13">
      <formula>T3=200000000000000000000</formula>
    </cfRule>
  </conditionalFormatting>
  <conditionalFormatting pivot="1" sqref="T3:T26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26">
    <cfRule type="expression" dxfId="25" priority="8">
      <formula>T3=400000000000000000000</formula>
    </cfRule>
  </conditionalFormatting>
  <conditionalFormatting pivot="1" sqref="AP3:AP1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1"/>
  <sheetViews>
    <sheetView workbookViewId="0">
      <selection activeCell="E24" sqref="E24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3.66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64.5546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5.4648446909036801E-2</v>
      </c>
      <c r="H2">
        <v>2E+20</v>
      </c>
      <c r="I2">
        <v>0</v>
      </c>
      <c r="J2">
        <v>0.124252474548387</v>
      </c>
      <c r="K2">
        <v>300</v>
      </c>
      <c r="L2" t="str">
        <f>DiscreteStatsTable[[#This Row],[ProjectName]]&amp;DiscreteStatsTable[[#This Row],[Name]]&amp;DiscreteStatsTable[[#This Row],[Type]]&amp;DiscreteStatsTable[[#This Row],[Source]]</f>
        <v>Unnamed ProjectRFID Validation Boys Entrance.QueueWaiting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5.4648446909036801E-2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5.4648446909036801E-2</v>
      </c>
      <c r="S2">
        <f t="array" ref="S2">MAX(IF((DiscreteStatsTable[GroupByKey]=DiscreteStatsTable[[#This Row],[GroupByKey]]),(DiscreteStatsTable[GroupByKey]=DiscreteStatsTable[[#This Row],[GroupByKey]])*DiscreteStatsTable[Average]))</f>
        <v>5.4648446909036801E-2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0.124252474548387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300</v>
      </c>
      <c r="W2">
        <f>IF((DiscreteStatsTable[[#This Row],[RepsRequested]]&gt;1),DiscreteStatsTable[[#This Row],[HalfWidth]],DiscreteStatsTable[[#This Row],[BatchMeansHalfWidth]])</f>
        <v>2E+20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67</v>
      </c>
      <c r="B3" t="s">
        <v>70</v>
      </c>
      <c r="C3">
        <v>1</v>
      </c>
      <c r="D3" t="s">
        <v>74</v>
      </c>
      <c r="E3" t="s">
        <v>72</v>
      </c>
      <c r="F3" t="s">
        <v>73</v>
      </c>
      <c r="G3">
        <v>6.9163368243239801E-4</v>
      </c>
      <c r="H3">
        <v>2E+20</v>
      </c>
      <c r="I3">
        <v>0</v>
      </c>
      <c r="J3">
        <v>4.8975330956423898E-3</v>
      </c>
      <c r="K3">
        <v>300</v>
      </c>
      <c r="L3" t="str">
        <f>DiscreteStatsTable[[#This Row],[ProjectName]]&amp;DiscreteStatsTable[[#This Row],[Name]]&amp;DiscreteStatsTable[[#This Row],[Type]]&amp;DiscreteStatsTable[[#This Row],[Source]]</f>
        <v>Unnamed ProjectRFID Validation Emergency Boys.QueueWaiting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6.9163368243239801E-4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6.9163368243239801E-4</v>
      </c>
      <c r="S3">
        <f t="array" ref="S3">MAX(IF((DiscreteStatsTable[GroupByKey]=DiscreteStatsTable[[#This Row],[GroupByKey]]),(DiscreteStatsTable[GroupByKey]=DiscreteStatsTable[[#This Row],[GroupByKey]])*DiscreteStatsTable[Average]))</f>
        <v>6.9163368243239801E-4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4.8975330956423898E-3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300</v>
      </c>
      <c r="W3">
        <f>IF((DiscreteStatsTable[[#This Row],[RepsRequested]]&gt;1),DiscreteStatsTable[[#This Row],[HalfWidth]],DiscreteStatsTable[[#This Row],[BatchMeansHalfWidth]])</f>
        <v>2E+20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67</v>
      </c>
      <c r="B4" t="s">
        <v>70</v>
      </c>
      <c r="C4">
        <v>1</v>
      </c>
      <c r="D4" t="s">
        <v>75</v>
      </c>
      <c r="E4" t="s">
        <v>72</v>
      </c>
      <c r="F4" t="s">
        <v>73</v>
      </c>
      <c r="G4">
        <v>6.0327732627785396E-4</v>
      </c>
      <c r="H4">
        <v>2E+20</v>
      </c>
      <c r="I4">
        <v>0</v>
      </c>
      <c r="J4">
        <v>5.2329996055301402E-3</v>
      </c>
      <c r="K4">
        <v>300</v>
      </c>
      <c r="L4" t="str">
        <f>DiscreteStatsTable[[#This Row],[ProjectName]]&amp;DiscreteStatsTable[[#This Row],[Name]]&amp;DiscreteStatsTable[[#This Row],[Type]]&amp;DiscreteStatsTable[[#This Row],[Source]]</f>
        <v>Unnamed ProjectRFID Validation Emergency Girls.QueueWaiting TimeQueue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6.0327732627785396E-4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6.0327732627785396E-4</v>
      </c>
      <c r="S4">
        <f t="array" ref="S4">MAX(IF((DiscreteStatsTable[GroupByKey]=DiscreteStatsTable[[#This Row],[GroupByKey]]),(DiscreteStatsTable[GroupByKey]=DiscreteStatsTable[[#This Row],[GroupByKey]])*DiscreteStatsTable[Average]))</f>
        <v>6.0327732627785396E-4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5.2329996055301402E-3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300</v>
      </c>
      <c r="W4">
        <f>IF((DiscreteStatsTable[[#This Row],[RepsRequested]]&gt;1),DiscreteStatsTable[[#This Row],[HalfWidth]],DiscreteStatsTable[[#This Row],[BatchMeansHalfWidth]])</f>
        <v>2E+20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67</v>
      </c>
      <c r="B5" t="s">
        <v>70</v>
      </c>
      <c r="C5">
        <v>1</v>
      </c>
      <c r="D5" t="s">
        <v>76</v>
      </c>
      <c r="E5" t="s">
        <v>72</v>
      </c>
      <c r="F5" t="s">
        <v>73</v>
      </c>
      <c r="G5">
        <v>1.9491030298316801E-2</v>
      </c>
      <c r="H5">
        <v>2E+20</v>
      </c>
      <c r="I5">
        <v>0</v>
      </c>
      <c r="J5">
        <v>4.21506392623524E-2</v>
      </c>
      <c r="K5">
        <v>300</v>
      </c>
      <c r="L5" t="str">
        <f>DiscreteStatsTable[[#This Row],[ProjectName]]&amp;DiscreteStatsTable[[#This Row],[Name]]&amp;DiscreteStatsTable[[#This Row],[Type]]&amp;DiscreteStatsTable[[#This Row],[Source]]</f>
        <v>Unnamed ProjectRFID Validation Girls Entrance.QueueWaiting TimeQueue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1.9491030298316801E-2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1.9491030298316801E-2</v>
      </c>
      <c r="S5">
        <f t="array" ref="S5">MAX(IF((DiscreteStatsTable[GroupByKey]=DiscreteStatsTable[[#This Row],[GroupByKey]]),(DiscreteStatsTable[GroupByKey]=DiscreteStatsTable[[#This Row],[GroupByKey]])*DiscreteStatsTable[Average]))</f>
        <v>1.9491030298316801E-2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4.21506392623524E-2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300</v>
      </c>
      <c r="W5">
        <f>IF((DiscreteStatsTable[[#This Row],[RepsRequested]]&gt;1),DiscreteStatsTable[[#This Row],[HalfWidth]],DiscreteStatsTable[[#This Row],[BatchMeansHalfWidth]])</f>
        <v>2E+20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67</v>
      </c>
      <c r="B6" t="s">
        <v>70</v>
      </c>
      <c r="C6">
        <v>1</v>
      </c>
      <c r="D6" t="s">
        <v>77</v>
      </c>
      <c r="E6" t="s">
        <v>78</v>
      </c>
      <c r="F6" t="s">
        <v>79</v>
      </c>
      <c r="G6">
        <v>0</v>
      </c>
      <c r="H6">
        <v>0</v>
      </c>
      <c r="I6">
        <v>0</v>
      </c>
      <c r="J6">
        <v>0</v>
      </c>
      <c r="K6">
        <v>1200</v>
      </c>
      <c r="L6" t="str">
        <f>DiscreteStatsTable[[#This Row],[ProjectName]]&amp;DiscreteStatsTable[[#This Row],[Name]]&amp;DiscreteStatsTable[[#This Row],[Type]]&amp;DiscreteStatsTable[[#This Row],[Source]]</f>
        <v>Unnamed ProjectStudentNVA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</v>
      </c>
      <c r="S6">
        <f t="array" ref="S6">MAX(IF((DiscreteStatsTable[GroupByKey]=DiscreteStatsTable[[#This Row],[GroupByKey]]),(DiscreteStatsTable[GroupByKey]=DiscreteStatsTable[[#This Row],[GroupByKey]])*DiscreteStatsTable[Average]))</f>
        <v>0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1200</v>
      </c>
      <c r="W6">
        <f>IF((DiscreteStatsTable[[#This Row],[RepsRequested]]&gt;1),DiscreteStatsTable[[#This Row],[HalfWidth]],DiscreteStatsTable[[#This Row],[BatchMeansHalfWidth]])</f>
        <v>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67</v>
      </c>
      <c r="B7" t="s">
        <v>70</v>
      </c>
      <c r="C7">
        <v>1</v>
      </c>
      <c r="D7" t="s">
        <v>77</v>
      </c>
      <c r="E7" t="s">
        <v>80</v>
      </c>
      <c r="F7" t="s">
        <v>79</v>
      </c>
      <c r="G7">
        <v>0</v>
      </c>
      <c r="H7">
        <v>0</v>
      </c>
      <c r="I7">
        <v>0</v>
      </c>
      <c r="J7">
        <v>0</v>
      </c>
      <c r="K7">
        <v>1200</v>
      </c>
      <c r="L7" t="str">
        <f>DiscreteStatsTable[[#This Row],[ProjectName]]&amp;DiscreteStatsTable[[#This Row],[Name]]&amp;DiscreteStatsTable[[#This Row],[Type]]&amp;DiscreteStatsTable[[#This Row],[Source]]</f>
        <v>Unnamed ProjectStudentOther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1200</v>
      </c>
      <c r="W7">
        <f>IF((DiscreteStatsTable[[#This Row],[RepsRequested]]&gt;1),DiscreteStatsTable[[#This Row],[HalfWidth]],DiscreteStatsTable[[#This Row],[BatchMeansHalfWidth]])</f>
        <v>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67</v>
      </c>
      <c r="B8" t="s">
        <v>70</v>
      </c>
      <c r="C8">
        <v>1</v>
      </c>
      <c r="D8" t="s">
        <v>77</v>
      </c>
      <c r="E8" t="s">
        <v>81</v>
      </c>
      <c r="F8" t="s">
        <v>79</v>
      </c>
      <c r="G8">
        <v>2.0785752528410001E-2</v>
      </c>
      <c r="H8">
        <v>3E+20</v>
      </c>
      <c r="I8">
        <v>9.5018675193941904E-4</v>
      </c>
      <c r="J8">
        <v>0.12622906639606901</v>
      </c>
      <c r="K8">
        <v>1200</v>
      </c>
      <c r="L8" t="str">
        <f>DiscreteStatsTable[[#This Row],[ProjectName]]&amp;DiscreteStatsTable[[#This Row],[Name]]&amp;DiscreteStatsTable[[#This Row],[Type]]&amp;DiscreteStatsTable[[#This Row],[Source]]</f>
        <v>Unnamed ProjectStudentTotal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2.0785752528410001E-2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2.0785752528410001E-2</v>
      </c>
      <c r="S8">
        <f t="array" ref="S8">MAX(IF((DiscreteStatsTable[GroupByKey]=DiscreteStatsTable[[#This Row],[GroupByKey]]),(DiscreteStatsTable[GroupByKey]=DiscreteStatsTable[[#This Row],[GroupByKey]])*DiscreteStatsTable[Average]))</f>
        <v>2.0785752528410001E-2</v>
      </c>
      <c r="T8">
        <f t="array" ref="T8">MIN(IF((DiscreteStatsTable[GroupByKey]=DiscreteStatsTable[[#This Row],[GroupByKey]]),(DiscreteStatsTable[GroupByKey]=DiscreteStatsTable[[#This Row],[GroupByKey]])*DiscreteStatsTable[Minimum]))</f>
        <v>9.5018675193941904E-4</v>
      </c>
      <c r="U8">
        <f t="array" ref="U8">MAX(IF((DiscreteStatsTable[GroupByKey]=DiscreteStatsTable[[#This Row],[GroupByKey]]),(DiscreteStatsTable[GroupByKey]=DiscreteStatsTable[[#This Row],[GroupByKey]])*DiscreteStatsTable[Maximum]))</f>
        <v>0.12622906639606901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1200</v>
      </c>
      <c r="W8">
        <f>IF((DiscreteStatsTable[[#This Row],[RepsRequested]]&gt;1),DiscreteStatsTable[[#This Row],[HalfWidth]],DiscreteStatsTable[[#This Row],[BatchMeansHalfWidth]])</f>
        <v>3E+20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67</v>
      </c>
      <c r="B9" t="s">
        <v>70</v>
      </c>
      <c r="C9">
        <v>1</v>
      </c>
      <c r="D9" t="s">
        <v>77</v>
      </c>
      <c r="E9" t="s">
        <v>82</v>
      </c>
      <c r="F9" t="s">
        <v>79</v>
      </c>
      <c r="G9">
        <v>0</v>
      </c>
      <c r="H9">
        <v>0</v>
      </c>
      <c r="I9">
        <v>0</v>
      </c>
      <c r="J9">
        <v>0</v>
      </c>
      <c r="K9">
        <v>1200</v>
      </c>
      <c r="L9" t="str">
        <f>DiscreteStatsTable[[#This Row],[ProjectName]]&amp;DiscreteStatsTable[[#This Row],[Name]]&amp;DiscreteStatsTable[[#This Row],[Type]]&amp;DiscreteStatsTable[[#This Row],[Source]]</f>
        <v>Unnamed ProjectStudentTransfer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0</v>
      </c>
      <c r="S9">
        <f t="array" ref="S9">MAX(IF((DiscreteStatsTable[GroupByKey]=DiscreteStatsTable[[#This Row],[GroupByKey]]),(DiscreteStatsTable[GroupByKey]=DiscreteStatsTable[[#This Row],[GroupByKey]])*DiscreteStatsTable[Average]))</f>
        <v>0</v>
      </c>
      <c r="T9">
        <f t="array" ref="T9">MIN(IF((DiscreteStatsTable[GroupByKey]=DiscreteStatsTable[[#This Row],[GroupByKey]]),(DiscreteStatsTable[GroupByKey]=DiscreteStatsTable[[#This Row],[GroupByKey]])*DiscreteStatsTable[Minimum]))</f>
        <v>0</v>
      </c>
      <c r="U9">
        <f t="array" ref="U9">MAX(IF((DiscreteStatsTable[GroupByKey]=DiscreteStatsTable[[#This Row],[GroupByKey]]),(DiscreteStatsTable[GroupByKey]=DiscreteStatsTable[[#This Row],[GroupByKey]])*DiscreteStatsTable[Maximum]))</f>
        <v>0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1200</v>
      </c>
      <c r="W9">
        <f>IF((DiscreteStatsTable[[#This Row],[RepsRequested]]&gt;1),DiscreteStatsTable[[#This Row],[HalfWidth]],DiscreteStatsTable[[#This Row],[BatchMeansHalfWidth]])</f>
        <v>0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67</v>
      </c>
      <c r="B10" t="s">
        <v>70</v>
      </c>
      <c r="C10">
        <v>1</v>
      </c>
      <c r="D10" t="s">
        <v>77</v>
      </c>
      <c r="E10" t="s">
        <v>83</v>
      </c>
      <c r="F10" t="s">
        <v>79</v>
      </c>
      <c r="G10">
        <v>1.92715547439402E-3</v>
      </c>
      <c r="H10">
        <v>2.7832622268447999E-5</v>
      </c>
      <c r="I10">
        <v>9.0312903262201904E-4</v>
      </c>
      <c r="J10">
        <v>3.2585954319556002E-3</v>
      </c>
      <c r="K10">
        <v>1200</v>
      </c>
      <c r="L10" t="str">
        <f>DiscreteStatsTable[[#This Row],[ProjectName]]&amp;DiscreteStatsTable[[#This Row],[Name]]&amp;DiscreteStatsTable[[#This Row],[Type]]&amp;DiscreteStatsTable[[#This Row],[Source]]</f>
        <v>Unnamed ProjectStudentVA TimeEntity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1.92715547439402E-3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>
        <f t="array" ref="R10">MIN(IF((DiscreteStatsTable[GroupByKey]=DiscreteStatsTable[[#This Row],[GroupByKey]]),(DiscreteStatsTable[GroupByKey]=DiscreteStatsTable[[#This Row],[GroupByKey]])*DiscreteStatsTable[Average]))</f>
        <v>1.92715547439402E-3</v>
      </c>
      <c r="S10">
        <f t="array" ref="S10">MAX(IF((DiscreteStatsTable[GroupByKey]=DiscreteStatsTable[[#This Row],[GroupByKey]]),(DiscreteStatsTable[GroupByKey]=DiscreteStatsTable[[#This Row],[GroupByKey]])*DiscreteStatsTable[Average]))</f>
        <v>1.92715547439402E-3</v>
      </c>
      <c r="T10">
        <f t="array" ref="T10">MIN(IF((DiscreteStatsTable[GroupByKey]=DiscreteStatsTable[[#This Row],[GroupByKey]]),(DiscreteStatsTable[GroupByKey]=DiscreteStatsTable[[#This Row],[GroupByKey]])*DiscreteStatsTable[Minimum]))</f>
        <v>9.0312903262201904E-4</v>
      </c>
      <c r="U10">
        <f t="array" ref="U10">MAX(IF((DiscreteStatsTable[GroupByKey]=DiscreteStatsTable[[#This Row],[GroupByKey]]),(DiscreteStatsTable[GroupByKey]=DiscreteStatsTable[[#This Row],[GroupByKey]])*DiscreteStatsTable[Maximum]))</f>
        <v>3.2585954319556002E-3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1200</v>
      </c>
      <c r="W10">
        <f>IF((DiscreteStatsTable[[#This Row],[RepsRequested]]&gt;1),DiscreteStatsTable[[#This Row],[HalfWidth]],DiscreteStatsTable[[#This Row],[BatchMeansHalfWidth]])</f>
        <v>2.7832622268447999E-5</v>
      </c>
      <c r="X10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67</v>
      </c>
      <c r="B11" t="s">
        <v>70</v>
      </c>
      <c r="C11">
        <v>1</v>
      </c>
      <c r="D11" t="s">
        <v>77</v>
      </c>
      <c r="E11" t="s">
        <v>84</v>
      </c>
      <c r="F11" t="s">
        <v>79</v>
      </c>
      <c r="G11">
        <v>1.8858597054016001E-2</v>
      </c>
      <c r="H11">
        <v>3E+20</v>
      </c>
      <c r="I11">
        <v>0</v>
      </c>
      <c r="J11">
        <v>0.124252474548387</v>
      </c>
      <c r="K11">
        <v>1200</v>
      </c>
      <c r="L11" t="str">
        <f>DiscreteStatsTable[[#This Row],[ProjectName]]&amp;DiscreteStatsTable[[#This Row],[Name]]&amp;DiscreteStatsTable[[#This Row],[Type]]&amp;DiscreteStatsTable[[#This Row],[Source]]</f>
        <v>Unnamed ProjectStudentWait TimeEntity</v>
      </c>
      <c r="M1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>
        <f t="array" ref="N11">IFERROR(AVERAGE(IF((DiscreteStatsTable[GroupByKey]=DiscreteStatsTable[[#This Row],[GroupByKey]]),(DiscreteStatsTable[GroupByKey]=DiscreteStatsTable[[#This Row],[GroupByKey]])*DiscreteStatsTable[Average])),0)</f>
        <v>1.8858597054016001E-2</v>
      </c>
      <c r="O1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>
        <f t="array" ref="R11">MIN(IF((DiscreteStatsTable[GroupByKey]=DiscreteStatsTable[[#This Row],[GroupByKey]]),(DiscreteStatsTable[GroupByKey]=DiscreteStatsTable[[#This Row],[GroupByKey]])*DiscreteStatsTable[Average]))</f>
        <v>1.8858597054016001E-2</v>
      </c>
      <c r="S11">
        <f t="array" ref="S11">MAX(IF((DiscreteStatsTable[GroupByKey]=DiscreteStatsTable[[#This Row],[GroupByKey]]),(DiscreteStatsTable[GroupByKey]=DiscreteStatsTable[[#This Row],[GroupByKey]])*DiscreteStatsTable[Average]))</f>
        <v>1.8858597054016001E-2</v>
      </c>
      <c r="T11">
        <f t="array" ref="T11">MIN(IF((DiscreteStatsTable[GroupByKey]=DiscreteStatsTable[[#This Row],[GroupByKey]]),(DiscreteStatsTable[GroupByKey]=DiscreteStatsTable[[#This Row],[GroupByKey]])*DiscreteStatsTable[Minimum]))</f>
        <v>0</v>
      </c>
      <c r="U11">
        <f t="array" ref="U11">MAX(IF((DiscreteStatsTable[GroupByKey]=DiscreteStatsTable[[#This Row],[GroupByKey]]),(DiscreteStatsTable[GroupByKey]=DiscreteStatsTable[[#This Row],[GroupByKey]])*DiscreteStatsTable[Maximum]))</f>
        <v>0.124252474548387</v>
      </c>
      <c r="V11">
        <f t="array" ref="V11">IFERROR(AVERAGE(IF((DiscreteStatsTable[GroupByKey]=DiscreteStatsTable[[#This Row],[GroupByKey]]),(DiscreteStatsTable[GroupByKey]=DiscreteStatsTable[[#This Row],[GroupByKey]])*DiscreteStatsTable[NumberObservations])),0)</f>
        <v>1200</v>
      </c>
      <c r="W11">
        <f>IF((DiscreteStatsTable[[#This Row],[RepsRequested]]&gt;1),DiscreteStatsTable[[#This Row],[HalfWidth]],DiscreteStatsTable[[#This Row],[BatchMeansHalfWidth]])</f>
        <v>3E+20</v>
      </c>
      <c r="X1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</sheetData>
  <phoneticPr fontId="2" type="noConversion"/>
  <conditionalFormatting sqref="H2:H11 Q2:Q11">
    <cfRule type="expression" dxfId="20" priority="23">
      <formula>H2=200000000000000000000</formula>
    </cfRule>
  </conditionalFormatting>
  <conditionalFormatting sqref="H2:H11">
    <cfRule type="expression" dxfId="19" priority="21">
      <formula>H2=300000000000000000000</formula>
    </cfRule>
  </conditionalFormatting>
  <conditionalFormatting sqref="L2:Y11">
    <cfRule type="expression" dxfId="18" priority="19">
      <formula>MOD(ROW(),2)=0</formula>
    </cfRule>
  </conditionalFormatting>
  <conditionalFormatting sqref="Y2:Y11">
    <cfRule type="expression" dxfId="17" priority="14">
      <formula>Y2=0</formula>
    </cfRule>
    <cfRule type="expression" dxfId="16" priority="16">
      <formula>Y2=1</formula>
    </cfRule>
  </conditionalFormatting>
  <conditionalFormatting sqref="Y3:Y11">
    <cfRule type="expression" dxfId="15" priority="15">
      <formula>Y3=1</formula>
    </cfRule>
  </conditionalFormatting>
  <conditionalFormatting sqref="W2:W1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1 W2:W1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5"/>
  <sheetViews>
    <sheetView workbookViewId="0">
      <selection activeCell="F28" sqref="F28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3.66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67.2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67</v>
      </c>
      <c r="B2" t="s">
        <v>70</v>
      </c>
      <c r="C2">
        <v>1</v>
      </c>
      <c r="D2" t="s">
        <v>85</v>
      </c>
      <c r="E2" t="s">
        <v>86</v>
      </c>
      <c r="F2" t="s">
        <v>87</v>
      </c>
      <c r="G2">
        <v>0.97507877392223596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ProjectBoys Entrance GateInstantaneous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0.97507877392223596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0.97507877392223596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0.97507877392223596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67</v>
      </c>
      <c r="B3" t="s">
        <v>70</v>
      </c>
      <c r="C3">
        <v>1</v>
      </c>
      <c r="D3" t="s">
        <v>85</v>
      </c>
      <c r="E3" t="s">
        <v>88</v>
      </c>
      <c r="F3" t="s">
        <v>87</v>
      </c>
      <c r="G3">
        <v>0.97507877392223596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ProjectBoys Entrance GateNumber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0.97507877392223596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0.97507877392223596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0.97507877392223596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67</v>
      </c>
      <c r="B4" t="s">
        <v>70</v>
      </c>
      <c r="C4">
        <v>1</v>
      </c>
      <c r="D4" t="s">
        <v>85</v>
      </c>
      <c r="E4" t="s">
        <v>89</v>
      </c>
      <c r="F4" t="s">
        <v>87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ProjectBoys Entrance GateNumber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67</v>
      </c>
      <c r="B5" t="s">
        <v>70</v>
      </c>
      <c r="C5">
        <v>1</v>
      </c>
      <c r="D5" t="s">
        <v>90</v>
      </c>
      <c r="E5" t="s">
        <v>86</v>
      </c>
      <c r="F5" t="s">
        <v>87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ProjectBoys Exit GateInstantaneous UtilizationResource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67</v>
      </c>
      <c r="B6" t="s">
        <v>70</v>
      </c>
      <c r="C6">
        <v>1</v>
      </c>
      <c r="D6" t="s">
        <v>90</v>
      </c>
      <c r="E6" t="s">
        <v>88</v>
      </c>
      <c r="F6" t="s">
        <v>87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ProjectBoys Exit GateNumber BusyResource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67</v>
      </c>
      <c r="B7" t="s">
        <v>70</v>
      </c>
      <c r="C7">
        <v>1</v>
      </c>
      <c r="D7" t="s">
        <v>90</v>
      </c>
      <c r="E7" t="s">
        <v>89</v>
      </c>
      <c r="F7" t="s">
        <v>87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ProjectBoys Exit GateNumber ScheduledResource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67</v>
      </c>
      <c r="B8" t="s">
        <v>70</v>
      </c>
      <c r="C8">
        <v>1</v>
      </c>
      <c r="D8" t="s">
        <v>91</v>
      </c>
      <c r="E8" t="s">
        <v>86</v>
      </c>
      <c r="F8" t="s">
        <v>87</v>
      </c>
      <c r="G8">
        <v>0.50181576809681605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ProjectEmergency Boys GateInstantaneous UtilizationResource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0.50181576809681605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0.50181576809681605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0.50181576809681605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67</v>
      </c>
      <c r="B9" t="s">
        <v>70</v>
      </c>
      <c r="C9">
        <v>1</v>
      </c>
      <c r="D9" t="s">
        <v>91</v>
      </c>
      <c r="E9" t="s">
        <v>88</v>
      </c>
      <c r="F9" t="s">
        <v>87</v>
      </c>
      <c r="G9">
        <v>1.0036315361936301</v>
      </c>
      <c r="H9">
        <v>2E+20</v>
      </c>
      <c r="I9">
        <v>0</v>
      </c>
      <c r="J9">
        <v>2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ProjectEmergency Boys GateNumber BusyResource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1.0036315361936301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1.0036315361936301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1.0036315361936301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67</v>
      </c>
      <c r="B10" t="s">
        <v>70</v>
      </c>
      <c r="C10">
        <v>1</v>
      </c>
      <c r="D10" t="s">
        <v>91</v>
      </c>
      <c r="E10" t="s">
        <v>89</v>
      </c>
      <c r="F10" t="s">
        <v>87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ProjectEmergency Boys GateNumber ScheduledResource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67</v>
      </c>
      <c r="B11" t="s">
        <v>70</v>
      </c>
      <c r="C11">
        <v>1</v>
      </c>
      <c r="D11" t="s">
        <v>92</v>
      </c>
      <c r="E11" t="s">
        <v>86</v>
      </c>
      <c r="F11" t="s">
        <v>87</v>
      </c>
      <c r="G11">
        <v>0.49266821744608003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ProjectEmergency Girls GateInstantaneous UtilizationResource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0.49266821744608003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0.49266821744608003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0.49266821744608003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">
      <c r="A12" t="s">
        <v>67</v>
      </c>
      <c r="B12" t="s">
        <v>70</v>
      </c>
      <c r="C12">
        <v>1</v>
      </c>
      <c r="D12" t="s">
        <v>92</v>
      </c>
      <c r="E12" t="s">
        <v>88</v>
      </c>
      <c r="F12" t="s">
        <v>87</v>
      </c>
      <c r="G12">
        <v>0.98533643489216005</v>
      </c>
      <c r="H12">
        <v>2E+20</v>
      </c>
      <c r="I12">
        <v>0</v>
      </c>
      <c r="J12">
        <v>2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ProjectEmergency Girls GateNumber BusyResource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0.98533643489216005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0.98533643489216005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0.98533643489216005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">
      <c r="A13" t="s">
        <v>67</v>
      </c>
      <c r="B13" t="s">
        <v>70</v>
      </c>
      <c r="C13">
        <v>1</v>
      </c>
      <c r="D13" t="s">
        <v>92</v>
      </c>
      <c r="E13" t="s">
        <v>89</v>
      </c>
      <c r="F13" t="s">
        <v>87</v>
      </c>
      <c r="G13">
        <v>2</v>
      </c>
      <c r="H13">
        <v>2E+20</v>
      </c>
      <c r="I13">
        <v>2</v>
      </c>
      <c r="J13">
        <v>2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ProjectEmergency Girls GateNumber ScheduledResource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2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2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2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67</v>
      </c>
      <c r="B14" t="s">
        <v>70</v>
      </c>
      <c r="C14">
        <v>1</v>
      </c>
      <c r="D14" t="s">
        <v>93</v>
      </c>
      <c r="E14" t="s">
        <v>86</v>
      </c>
      <c r="F14" t="s">
        <v>87</v>
      </c>
      <c r="G14">
        <v>0.97464365871828096</v>
      </c>
      <c r="H14">
        <v>2E+20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ProjectGirls Entrance GateInstantaneous UtilizationResource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0.97464365871828096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0.97464365871828096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0.97464365871828096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">
      <c r="A15" t="s">
        <v>67</v>
      </c>
      <c r="B15" t="s">
        <v>70</v>
      </c>
      <c r="C15">
        <v>1</v>
      </c>
      <c r="D15" t="s">
        <v>93</v>
      </c>
      <c r="E15" t="s">
        <v>88</v>
      </c>
      <c r="F15" t="s">
        <v>87</v>
      </c>
      <c r="G15">
        <v>0.97464365871828096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ProjectGirls Entrance GateNumber BusyResource</v>
      </c>
      <c r="N15" s="5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>
        <f t="array" ref="O15">IFERROR(AVERAGE(IF((ContinuousStatsTable[GroupByKey]=ContinuousStatsTable[[#This Row],[GroupByKey]]),(ContinuousStatsTable[GroupByKey]=ContinuousStatsTable[[#This Row],[GroupByKey]])*ContinuousStatsTable[Average])),0)</f>
        <v>0.97464365871828096</v>
      </c>
      <c r="P15" s="5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>
        <f t="array" ref="S15">MIN(IF((ContinuousStatsTable[GroupByKey]=ContinuousStatsTable[[#This Row],[GroupByKey]]),(ContinuousStatsTable[GroupByKey]=ContinuousStatsTable[[#This Row],[GroupByKey]])*ContinuousStatsTable[Average]))</f>
        <v>0.97464365871828096</v>
      </c>
      <c r="T15" s="5">
        <f t="array" ref="T15">MAX(IF((ContinuousStatsTable[GroupByKey]=ContinuousStatsTable[[#This Row],[GroupByKey]]),(ContinuousStatsTable[GroupByKey]=ContinuousStatsTable[[#This Row],[GroupByKey]])*ContinuousStatsTable[Average]))</f>
        <v>0.97464365871828096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">
      <c r="A16" t="s">
        <v>67</v>
      </c>
      <c r="B16" t="s">
        <v>70</v>
      </c>
      <c r="C16">
        <v>1</v>
      </c>
      <c r="D16" t="s">
        <v>93</v>
      </c>
      <c r="E16" t="s">
        <v>89</v>
      </c>
      <c r="F16" t="s">
        <v>87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ProjectGirls Entrance GateNumber ScheduledResource</v>
      </c>
      <c r="N16" s="5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">
      <c r="A17" t="s">
        <v>67</v>
      </c>
      <c r="B17" t="s">
        <v>70</v>
      </c>
      <c r="C17">
        <v>1</v>
      </c>
      <c r="D17" t="s">
        <v>94</v>
      </c>
      <c r="E17" t="s">
        <v>86</v>
      </c>
      <c r="F17" t="s">
        <v>87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ProjectGirls Exit GateInstantaneous UtilizationResource</v>
      </c>
      <c r="N17" s="5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>
        <f t="array" ref="O17">IFERROR(AVERAGE(IF((ContinuousStatsTable[GroupByKey]=ContinuousStatsTable[[#This Row],[GroupByKey]]),(ContinuousStatsTable[GroupByKey]=ContinuousStatsTable[[#This Row],[GroupByKey]])*ContinuousStatsTable[Average])),0)</f>
        <v>0</v>
      </c>
      <c r="P17" s="5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s="5">
        <f t="array" ref="T17">MAX(IF((ContinuousStatsTable[GroupByKey]=ContinuousStatsTable[[#This Row],[GroupByKey]]),(ContinuousStatsTable[GroupByKey]=ContinuousStatsTable[[#This Row],[GroupByKey]])*ContinuousStatsTable[Average]))</f>
        <v>0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">
      <c r="A18" t="s">
        <v>67</v>
      </c>
      <c r="B18" t="s">
        <v>70</v>
      </c>
      <c r="C18">
        <v>1</v>
      </c>
      <c r="D18" t="s">
        <v>94</v>
      </c>
      <c r="E18" t="s">
        <v>88</v>
      </c>
      <c r="F18" t="s">
        <v>87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ProjectGirls Exit GateNumber BusyResource</v>
      </c>
      <c r="N18" s="5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">
      <c r="A19" t="s">
        <v>67</v>
      </c>
      <c r="B19" t="s">
        <v>70</v>
      </c>
      <c r="C19">
        <v>1</v>
      </c>
      <c r="D19" t="s">
        <v>94</v>
      </c>
      <c r="E19" t="s">
        <v>89</v>
      </c>
      <c r="F19" t="s">
        <v>87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ProjectGirls Exit GateNumber ScheduledResource</v>
      </c>
      <c r="N19" s="5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">
      <c r="A20" t="s">
        <v>67</v>
      </c>
      <c r="B20" t="s">
        <v>70</v>
      </c>
      <c r="C20">
        <v>1</v>
      </c>
      <c r="D20" t="s">
        <v>71</v>
      </c>
      <c r="E20" t="s">
        <v>95</v>
      </c>
      <c r="F20" t="s">
        <v>73</v>
      </c>
      <c r="G20">
        <v>27.922411590436401</v>
      </c>
      <c r="H20">
        <v>2E+20</v>
      </c>
      <c r="I20">
        <v>0</v>
      </c>
      <c r="J20">
        <v>62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ProjectRFID Validation Boys Entrance.QueueNumber WaitingQueue</v>
      </c>
      <c r="N20" s="5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>
        <f t="array" ref="O20">IFERROR(AVERAGE(IF((ContinuousStatsTable[GroupByKey]=ContinuousStatsTable[[#This Row],[GroupByKey]]),(ContinuousStatsTable[GroupByKey]=ContinuousStatsTable[[#This Row],[GroupByKey]])*ContinuousStatsTable[Average])),0)</f>
        <v>27.922411590436401</v>
      </c>
      <c r="P20" s="5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>
        <f t="array" ref="S20">MIN(IF((ContinuousStatsTable[GroupByKey]=ContinuousStatsTable[[#This Row],[GroupByKey]]),(ContinuousStatsTable[GroupByKey]=ContinuousStatsTable[[#This Row],[GroupByKey]])*ContinuousStatsTable[Average]))</f>
        <v>27.922411590436401</v>
      </c>
      <c r="T20" s="5">
        <f t="array" ref="T20">MAX(IF((ContinuousStatsTable[GroupByKey]=ContinuousStatsTable[[#This Row],[GroupByKey]]),(ContinuousStatsTable[GroupByKey]=ContinuousStatsTable[[#This Row],[GroupByKey]])*ContinuousStatsTable[Average]))</f>
        <v>27.922411590436401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">
      <c r="A21" t="s">
        <v>67</v>
      </c>
      <c r="B21" t="s">
        <v>70</v>
      </c>
      <c r="C21">
        <v>1</v>
      </c>
      <c r="D21" t="s">
        <v>74</v>
      </c>
      <c r="E21" t="s">
        <v>95</v>
      </c>
      <c r="F21" t="s">
        <v>73</v>
      </c>
      <c r="G21">
        <v>0.35338754242790998</v>
      </c>
      <c r="H21">
        <v>2E+20</v>
      </c>
      <c r="I21">
        <v>0</v>
      </c>
      <c r="J21">
        <v>7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ProjectRFID Validation Emergency Boys.QueueNumber WaitingQueue</v>
      </c>
      <c r="N21" s="5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>
        <f t="array" ref="O21">IFERROR(AVERAGE(IF((ContinuousStatsTable[GroupByKey]=ContinuousStatsTable[[#This Row],[GroupByKey]]),(ContinuousStatsTable[GroupByKey]=ContinuousStatsTable[[#This Row],[GroupByKey]])*ContinuousStatsTable[Average])),0)</f>
        <v>0.35338754242790998</v>
      </c>
      <c r="P21" s="5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>
        <f t="array" ref="S21">MIN(IF((ContinuousStatsTable[GroupByKey]=ContinuousStatsTable[[#This Row],[GroupByKey]]),(ContinuousStatsTable[GroupByKey]=ContinuousStatsTable[[#This Row],[GroupByKey]])*ContinuousStatsTable[Average]))</f>
        <v>0.35338754242790998</v>
      </c>
      <c r="T21" s="5">
        <f t="array" ref="T21">MAX(IF((ContinuousStatsTable[GroupByKey]=ContinuousStatsTable[[#This Row],[GroupByKey]]),(ContinuousStatsTable[GroupByKey]=ContinuousStatsTable[[#This Row],[GroupByKey]])*ContinuousStatsTable[Average]))</f>
        <v>0.35338754242790998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">
      <c r="A22" t="s">
        <v>67</v>
      </c>
      <c r="B22" t="s">
        <v>70</v>
      </c>
      <c r="C22">
        <v>1</v>
      </c>
      <c r="D22" t="s">
        <v>75</v>
      </c>
      <c r="E22" t="s">
        <v>95</v>
      </c>
      <c r="F22" t="s">
        <v>73</v>
      </c>
      <c r="G22">
        <v>0.30824220559363602</v>
      </c>
      <c r="H22">
        <v>2E+20</v>
      </c>
      <c r="I22">
        <v>0</v>
      </c>
      <c r="J22">
        <v>5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ProjectRFID Validation Emergency Girls.QueueNumber WaitingQueue</v>
      </c>
      <c r="N22" s="5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>
        <f t="array" ref="O22">IFERROR(AVERAGE(IF((ContinuousStatsTable[GroupByKey]=ContinuousStatsTable[[#This Row],[GroupByKey]]),(ContinuousStatsTable[GroupByKey]=ContinuousStatsTable[[#This Row],[GroupByKey]])*ContinuousStatsTable[Average])),0)</f>
        <v>0.30824220559363602</v>
      </c>
      <c r="P22" s="5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>
        <f t="array" ref="S22">MIN(IF((ContinuousStatsTable[GroupByKey]=ContinuousStatsTable[[#This Row],[GroupByKey]]),(ContinuousStatsTable[GroupByKey]=ContinuousStatsTable[[#This Row],[GroupByKey]])*ContinuousStatsTable[Average]))</f>
        <v>0.30824220559363602</v>
      </c>
      <c r="T22" s="5">
        <f t="array" ref="T22">MAX(IF((ContinuousStatsTable[GroupByKey]=ContinuousStatsTable[[#This Row],[GroupByKey]]),(ContinuousStatsTable[GroupByKey]=ContinuousStatsTable[[#This Row],[GroupByKey]])*ContinuousStatsTable[Average]))</f>
        <v>0.30824220559363602</v>
      </c>
      <c r="U22" s="5">
        <f>IF((ContinuousStatsTable[[#This Row],[RepsRequested]]&gt;1),ContinuousStatsTable[[#This Row],[HalfWidth]],ContinuousStatsTable[[#This Row],[BatchMeansHalfWidth]])</f>
        <v>2E+20</v>
      </c>
    </row>
    <row r="23" spans="1:21" x14ac:dyDescent="0.3">
      <c r="A23" t="s">
        <v>67</v>
      </c>
      <c r="B23" t="s">
        <v>70</v>
      </c>
      <c r="C23">
        <v>1</v>
      </c>
      <c r="D23" t="s">
        <v>76</v>
      </c>
      <c r="E23" t="s">
        <v>95</v>
      </c>
      <c r="F23" t="s">
        <v>73</v>
      </c>
      <c r="G23">
        <v>9.9588661909671305</v>
      </c>
      <c r="H23">
        <v>2E+20</v>
      </c>
      <c r="I23">
        <v>0</v>
      </c>
      <c r="J23">
        <v>22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ProjectRFID Validation Girls Entrance.QueueNumber WaitingQueue</v>
      </c>
      <c r="N23" s="5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 s="5">
        <f t="array" ref="O23">IFERROR(AVERAGE(IF((ContinuousStatsTable[GroupByKey]=ContinuousStatsTable[[#This Row],[GroupByKey]]),(ContinuousStatsTable[GroupByKey]=ContinuousStatsTable[[#This Row],[GroupByKey]])*ContinuousStatsTable[Average])),0)</f>
        <v>9.9588661909671305</v>
      </c>
      <c r="P23" s="5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 s="5">
        <f t="array" ref="S23">MIN(IF((ContinuousStatsTable[GroupByKey]=ContinuousStatsTable[[#This Row],[GroupByKey]]),(ContinuousStatsTable[GroupByKey]=ContinuousStatsTable[[#This Row],[GroupByKey]])*ContinuousStatsTable[Average]))</f>
        <v>9.9588661909671305</v>
      </c>
      <c r="T23" s="5">
        <f t="array" ref="T23">MAX(IF((ContinuousStatsTable[GroupByKey]=ContinuousStatsTable[[#This Row],[GroupByKey]]),(ContinuousStatsTable[GroupByKey]=ContinuousStatsTable[[#This Row],[GroupByKey]])*ContinuousStatsTable[Average]))</f>
        <v>9.9588661909671305</v>
      </c>
      <c r="U23" s="5">
        <f>IF((ContinuousStatsTable[[#This Row],[RepsRequested]]&gt;1),ContinuousStatsTable[[#This Row],[HalfWidth]],ContinuousStatsTable[[#This Row],[BatchMeansHalfWidth]])</f>
        <v>2E+20</v>
      </c>
    </row>
    <row r="24" spans="1:21" x14ac:dyDescent="0.3">
      <c r="A24" t="s">
        <v>67</v>
      </c>
      <c r="B24" t="s">
        <v>70</v>
      </c>
      <c r="C24">
        <v>1</v>
      </c>
      <c r="D24" t="s">
        <v>96</v>
      </c>
      <c r="E24" t="s">
        <v>95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ProjectRFID Validation.QueueNumber WaitingQueue</v>
      </c>
      <c r="N24" s="5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 s="5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 s="5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2E+20</v>
      </c>
    </row>
    <row r="25" spans="1:21" x14ac:dyDescent="0.3">
      <c r="A25" t="s">
        <v>67</v>
      </c>
      <c r="B25" t="s">
        <v>70</v>
      </c>
      <c r="C25">
        <v>1</v>
      </c>
      <c r="D25" t="s">
        <v>77</v>
      </c>
      <c r="E25" t="s">
        <v>97</v>
      </c>
      <c r="F25" t="s">
        <v>79</v>
      </c>
      <c r="G25">
        <v>42.481597933151399</v>
      </c>
      <c r="H25">
        <v>2E+20</v>
      </c>
      <c r="I25">
        <v>0</v>
      </c>
      <c r="J25">
        <v>85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ProjectStudentWIPEntity</v>
      </c>
      <c r="N25" s="5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 s="5">
        <f t="array" ref="O25">IFERROR(AVERAGE(IF((ContinuousStatsTable[GroupByKey]=ContinuousStatsTable[[#This Row],[GroupByKey]]),(ContinuousStatsTable[GroupByKey]=ContinuousStatsTable[[#This Row],[GroupByKey]])*ContinuousStatsTable[Average])),0)</f>
        <v>42.481597933151399</v>
      </c>
      <c r="P25" s="5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 s="5">
        <f t="array" ref="S25">MIN(IF((ContinuousStatsTable[GroupByKey]=ContinuousStatsTable[[#This Row],[GroupByKey]]),(ContinuousStatsTable[GroupByKey]=ContinuousStatsTable[[#This Row],[GroupByKey]])*ContinuousStatsTable[Average]))</f>
        <v>42.481597933151399</v>
      </c>
      <c r="T25" s="5">
        <f t="array" ref="T25">MAX(IF((ContinuousStatsTable[GroupByKey]=ContinuousStatsTable[[#This Row],[GroupByKey]]),(ContinuousStatsTable[GroupByKey]=ContinuousStatsTable[[#This Row],[GroupByKey]])*ContinuousStatsTable[Average]))</f>
        <v>42.481597933151399</v>
      </c>
      <c r="U25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5">
    <cfRule type="expression" dxfId="11" priority="9">
      <formula>H2=200000000000000000000</formula>
    </cfRule>
  </conditionalFormatting>
  <conditionalFormatting sqref="H2:H25">
    <cfRule type="expression" dxfId="10" priority="7">
      <formula>H2=300000000000000000000</formula>
    </cfRule>
  </conditionalFormatting>
  <conditionalFormatting sqref="M2:U25">
    <cfRule type="expression" dxfId="9" priority="5">
      <formula>MOD(ROW(),2)=0</formula>
    </cfRule>
  </conditionalFormatting>
  <conditionalFormatting sqref="U2:U25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5 U2:U25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tabSelected="1"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6"/>
  <sheetViews>
    <sheetView workbookViewId="0">
      <selection activeCell="D21" sqref="D2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6.332031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6.1093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67</v>
      </c>
      <c r="B2" t="s">
        <v>70</v>
      </c>
      <c r="C2">
        <v>1</v>
      </c>
      <c r="D2" t="s">
        <v>98</v>
      </c>
      <c r="E2" t="s">
        <v>99</v>
      </c>
      <c r="F2" t="s">
        <v>87</v>
      </c>
      <c r="G2">
        <v>300</v>
      </c>
      <c r="H2">
        <v>0</v>
      </c>
      <c r="I2" t="str">
        <f>OutputTable[[#This Row],[ProjectName]]&amp;OutputTable[[#This Row],[Name]]&amp;OutputTable[[#This Row],[Type]]&amp;OutputTable[[#This Row],[Source]]</f>
        <v>Unnamed ProjectBoys Entrance Gate.NumberSeizedTotal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300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300</v>
      </c>
      <c r="P2">
        <f t="array" ref="P2">MAX(IF((OutputTable[GroupByKey]=OutputTable[[#This Row],[GroupByKey]]),(OutputTable[GroupByKey]=OutputTable[[#This Row],[GroupByKey]])*OutputTable[RecordedValue]))</f>
        <v>300</v>
      </c>
    </row>
    <row r="3" spans="1:16" x14ac:dyDescent="0.3">
      <c r="A3" t="s">
        <v>67</v>
      </c>
      <c r="B3" t="s">
        <v>70</v>
      </c>
      <c r="C3">
        <v>1</v>
      </c>
      <c r="D3" t="s">
        <v>100</v>
      </c>
      <c r="E3" t="s">
        <v>101</v>
      </c>
      <c r="F3" t="s">
        <v>87</v>
      </c>
      <c r="G3">
        <v>0.97507877392223596</v>
      </c>
      <c r="H3">
        <v>0</v>
      </c>
      <c r="I3" t="str">
        <f>OutputTable[[#This Row],[ProjectName]]&amp;OutputTable[[#This Row],[Name]]&amp;OutputTable[[#This Row],[Type]]&amp;OutputTable[[#This Row],[Source]]</f>
        <v>Unnamed ProjectBoys Entrance Gate.ScheduledUtilizationScheduled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0.97507877392223596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0.97507877392223596</v>
      </c>
      <c r="P3">
        <f t="array" ref="P3">MAX(IF((OutputTable[GroupByKey]=OutputTable[[#This Row],[GroupByKey]]),(OutputTable[GroupByKey]=OutputTable[[#This Row],[GroupByKey]])*OutputTable[RecordedValue]))</f>
        <v>0.97507877392223596</v>
      </c>
    </row>
    <row r="4" spans="1:16" x14ac:dyDescent="0.3">
      <c r="A4" t="s">
        <v>67</v>
      </c>
      <c r="B4" t="s">
        <v>70</v>
      </c>
      <c r="C4">
        <v>1</v>
      </c>
      <c r="D4" t="s">
        <v>102</v>
      </c>
      <c r="E4" t="s">
        <v>99</v>
      </c>
      <c r="F4" t="s">
        <v>87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ProjectBoys Exit Gate.NumberSeizedTotal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0</v>
      </c>
      <c r="P4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A5" t="s">
        <v>67</v>
      </c>
      <c r="B5" t="s">
        <v>70</v>
      </c>
      <c r="C5">
        <v>1</v>
      </c>
      <c r="D5" t="s">
        <v>103</v>
      </c>
      <c r="E5" t="s">
        <v>101</v>
      </c>
      <c r="F5" t="s">
        <v>87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ProjectBoys Exit Gate.ScheduledUtilizationScheduled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A6" t="s">
        <v>67</v>
      </c>
      <c r="B6" t="s">
        <v>70</v>
      </c>
      <c r="C6">
        <v>1</v>
      </c>
      <c r="D6" t="s">
        <v>104</v>
      </c>
      <c r="E6" t="s">
        <v>99</v>
      </c>
      <c r="F6" t="s">
        <v>87</v>
      </c>
      <c r="G6">
        <v>300</v>
      </c>
      <c r="H6">
        <v>0</v>
      </c>
      <c r="I6" t="str">
        <f>OutputTable[[#This Row],[ProjectName]]&amp;OutputTable[[#This Row],[Name]]&amp;OutputTable[[#This Row],[Type]]&amp;OutputTable[[#This Row],[Source]]</f>
        <v>Unnamed ProjectEmergency Boys Gate.NumberSeizedTotal Number SeizedResource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300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300</v>
      </c>
      <c r="P6">
        <f t="array" ref="P6">MAX(IF((OutputTable[GroupByKey]=OutputTable[[#This Row],[GroupByKey]]),(OutputTable[GroupByKey]=OutputTable[[#This Row],[GroupByKey]])*OutputTable[RecordedValue]))</f>
        <v>300</v>
      </c>
    </row>
    <row r="7" spans="1:16" x14ac:dyDescent="0.3">
      <c r="A7" t="s">
        <v>67</v>
      </c>
      <c r="B7" t="s">
        <v>70</v>
      </c>
      <c r="C7">
        <v>1</v>
      </c>
      <c r="D7" t="s">
        <v>105</v>
      </c>
      <c r="E7" t="s">
        <v>101</v>
      </c>
      <c r="F7" t="s">
        <v>87</v>
      </c>
      <c r="G7">
        <v>0.50181576809681605</v>
      </c>
      <c r="H7">
        <v>0</v>
      </c>
      <c r="I7" t="str">
        <f>OutputTable[[#This Row],[ProjectName]]&amp;OutputTable[[#This Row],[Name]]&amp;OutputTable[[#This Row],[Type]]&amp;OutputTable[[#This Row],[Source]]</f>
        <v>Unnamed ProjectEmergency Boys Gate.ScheduledUtilizationScheduled UtilizationResource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0.50181576809681605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0.50181576809681605</v>
      </c>
      <c r="P7">
        <f t="array" ref="P7">MAX(IF((OutputTable[GroupByKey]=OutputTable[[#This Row],[GroupByKey]]),(OutputTable[GroupByKey]=OutputTable[[#This Row],[GroupByKey]])*OutputTable[RecordedValue]))</f>
        <v>0.50181576809681605</v>
      </c>
    </row>
    <row r="8" spans="1:16" x14ac:dyDescent="0.3">
      <c r="A8" t="s">
        <v>67</v>
      </c>
      <c r="B8" t="s">
        <v>70</v>
      </c>
      <c r="C8">
        <v>1</v>
      </c>
      <c r="D8" t="s">
        <v>106</v>
      </c>
      <c r="E8" t="s">
        <v>99</v>
      </c>
      <c r="F8" t="s">
        <v>87</v>
      </c>
      <c r="G8">
        <v>300</v>
      </c>
      <c r="H8">
        <v>0</v>
      </c>
      <c r="I8" t="str">
        <f>OutputTable[[#This Row],[ProjectName]]&amp;OutputTable[[#This Row],[Name]]&amp;OutputTable[[#This Row],[Type]]&amp;OutputTable[[#This Row],[Source]]</f>
        <v>Unnamed ProjectEmergency Girls Gate.NumberSeizedTotal Number SeizedResource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300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300</v>
      </c>
      <c r="P8">
        <f t="array" ref="P8">MAX(IF((OutputTable[GroupByKey]=OutputTable[[#This Row],[GroupByKey]]),(OutputTable[GroupByKey]=OutputTable[[#This Row],[GroupByKey]])*OutputTable[RecordedValue]))</f>
        <v>300</v>
      </c>
    </row>
    <row r="9" spans="1:16" x14ac:dyDescent="0.3">
      <c r="A9" t="s">
        <v>67</v>
      </c>
      <c r="B9" t="s">
        <v>70</v>
      </c>
      <c r="C9">
        <v>1</v>
      </c>
      <c r="D9" t="s">
        <v>107</v>
      </c>
      <c r="E9" t="s">
        <v>101</v>
      </c>
      <c r="F9" t="s">
        <v>87</v>
      </c>
      <c r="G9">
        <v>0.49266821744608003</v>
      </c>
      <c r="H9">
        <v>0</v>
      </c>
      <c r="I9" t="str">
        <f>OutputTable[[#This Row],[ProjectName]]&amp;OutputTable[[#This Row],[Name]]&amp;OutputTable[[#This Row],[Type]]&amp;OutputTable[[#This Row],[Source]]</f>
        <v>Unnamed ProjectEmergency Girls Gate.ScheduledUtilizationScheduled UtilizationResource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0.49266821744608003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>
        <f t="array" ref="O9">MIN(IF((OutputTable[GroupByKey]=OutputTable[[#This Row],[GroupByKey]]),(OutputTable[GroupByKey]=OutputTable[[#This Row],[GroupByKey]])*OutputTable[RecordedValue]))</f>
        <v>0.49266821744608003</v>
      </c>
      <c r="P9">
        <f t="array" ref="P9">MAX(IF((OutputTable[GroupByKey]=OutputTable[[#This Row],[GroupByKey]]),(OutputTable[GroupByKey]=OutputTable[[#This Row],[GroupByKey]])*OutputTable[RecordedValue]))</f>
        <v>0.49266821744608003</v>
      </c>
    </row>
    <row r="10" spans="1:16" x14ac:dyDescent="0.3">
      <c r="A10" t="s">
        <v>67</v>
      </c>
      <c r="B10" t="s">
        <v>70</v>
      </c>
      <c r="C10">
        <v>1</v>
      </c>
      <c r="D10" t="s">
        <v>108</v>
      </c>
      <c r="E10" t="s">
        <v>99</v>
      </c>
      <c r="F10" t="s">
        <v>87</v>
      </c>
      <c r="G10">
        <v>300</v>
      </c>
      <c r="H10">
        <v>0</v>
      </c>
      <c r="I10" t="str">
        <f>OutputTable[[#This Row],[ProjectName]]&amp;OutputTable[[#This Row],[Name]]&amp;OutputTable[[#This Row],[Type]]&amp;OutputTable[[#This Row],[Source]]</f>
        <v>Unnamed ProjectGirls Entrance Gate.NumberSeizedTotal Number SeizedResource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300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>
        <f t="array" ref="O10">MIN(IF((OutputTable[GroupByKey]=OutputTable[[#This Row],[GroupByKey]]),(OutputTable[GroupByKey]=OutputTable[[#This Row],[GroupByKey]])*OutputTable[RecordedValue]))</f>
        <v>300</v>
      </c>
      <c r="P10">
        <f t="array" ref="P10">MAX(IF((OutputTable[GroupByKey]=OutputTable[[#This Row],[GroupByKey]]),(OutputTable[GroupByKey]=OutputTable[[#This Row],[GroupByKey]])*OutputTable[RecordedValue]))</f>
        <v>300</v>
      </c>
    </row>
    <row r="11" spans="1:16" x14ac:dyDescent="0.3">
      <c r="A11" t="s">
        <v>67</v>
      </c>
      <c r="B11" t="s">
        <v>70</v>
      </c>
      <c r="C11">
        <v>1</v>
      </c>
      <c r="D11" t="s">
        <v>109</v>
      </c>
      <c r="E11" t="s">
        <v>101</v>
      </c>
      <c r="F11" t="s">
        <v>87</v>
      </c>
      <c r="G11">
        <v>0.97464365871828096</v>
      </c>
      <c r="H11">
        <v>0</v>
      </c>
      <c r="I11" t="str">
        <f>OutputTable[[#This Row],[ProjectName]]&amp;OutputTable[[#This Row],[Name]]&amp;OutputTable[[#This Row],[Type]]&amp;OutputTable[[#This Row],[Source]]</f>
        <v>Unnamed ProjectGirls Entrance Gate.ScheduledUtilizationScheduled UtilizationResource</v>
      </c>
      <c r="J11">
        <f t="array" ref="J11">MAX(IF((ProjectInfoTable[ProjectName]=OutputTable[[#This Row],[ProjectName]]),(ProjectInfoTable[ProjectName]=OutputTable[[#This Row],[ProjectName]])*ProjectInfoTable[NumberOfReplications]))</f>
        <v>1</v>
      </c>
      <c r="K11">
        <f t="array" ref="K11">IFERROR(AVERAGE(IF((OutputTable[GroupByKey]=OutputTable[[#This Row],[GroupByKey]]),(OutputTable[GroupByKey]=OutputTable[[#This Row],[GroupByKey]])*OutputTable[RecordedValue])),0)</f>
        <v>0.97464365871828096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>
        <f t="array" ref="O11">MIN(IF((OutputTable[GroupByKey]=OutputTable[[#This Row],[GroupByKey]]),(OutputTable[GroupByKey]=OutputTable[[#This Row],[GroupByKey]])*OutputTable[RecordedValue]))</f>
        <v>0.97464365871828096</v>
      </c>
      <c r="P11">
        <f t="array" ref="P11">MAX(IF((OutputTable[GroupByKey]=OutputTable[[#This Row],[GroupByKey]]),(OutputTable[GroupByKey]=OutputTable[[#This Row],[GroupByKey]])*OutputTable[RecordedValue]))</f>
        <v>0.97464365871828096</v>
      </c>
    </row>
    <row r="12" spans="1:16" x14ac:dyDescent="0.3">
      <c r="A12" t="s">
        <v>67</v>
      </c>
      <c r="B12" t="s">
        <v>70</v>
      </c>
      <c r="C12">
        <v>1</v>
      </c>
      <c r="D12" t="s">
        <v>110</v>
      </c>
      <c r="E12" t="s">
        <v>99</v>
      </c>
      <c r="F12" t="s">
        <v>87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ProjectGirls Exit Gate.NumberSeizedTotal Number SeizedResource</v>
      </c>
      <c r="J12">
        <f t="array" ref="J12">MAX(IF((ProjectInfoTable[ProjectName]=OutputTable[[#This Row],[ProjectName]]),(ProjectInfoTable[ProjectName]=OutputTable[[#This Row],[ProjectName]])*ProjectInfoTable[NumberOfReplications]))</f>
        <v>1</v>
      </c>
      <c r="K12">
        <f t="array" ref="K12">IFERROR(AVERAGE(IF((OutputTable[GroupByKey]=OutputTable[[#This Row],[GroupByKey]]),(OutputTable[GroupByKey]=OutputTable[[#This Row],[GroupByKey]])*OutputTable[RecordedValue])),0)</f>
        <v>0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>
        <f t="array" ref="O12">MIN(IF((OutputTable[GroupByKey]=OutputTable[[#This Row],[GroupByKey]]),(OutputTable[GroupByKey]=OutputTable[[#This Row],[GroupByKey]])*OutputTable[RecordedValue]))</f>
        <v>0</v>
      </c>
      <c r="P12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3">
      <c r="A13" t="s">
        <v>67</v>
      </c>
      <c r="B13" t="s">
        <v>70</v>
      </c>
      <c r="C13">
        <v>1</v>
      </c>
      <c r="D13" t="s">
        <v>111</v>
      </c>
      <c r="E13" t="s">
        <v>101</v>
      </c>
      <c r="F13" t="s">
        <v>87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ProjectGirls Exit Gate.ScheduledUtilizationScheduled UtilizationResource</v>
      </c>
      <c r="J13">
        <f t="array" ref="J13">MAX(IF((ProjectInfoTable[ProjectName]=OutputTable[[#This Row],[ProjectName]]),(ProjectInfoTable[ProjectName]=OutputTable[[#This Row],[ProjectName]])*ProjectInfoTable[NumberOfReplications]))</f>
        <v>1</v>
      </c>
      <c r="K13">
        <f t="array" ref="K13">IFERROR(AVERAGE(IF((OutputTable[GroupByKey]=OutputTable[[#This Row],[GroupByKey]]),(OutputTable[GroupByKey]=OutputTable[[#This Row],[GroupByKey]])*OutputTable[RecordedValue])),0)</f>
        <v>0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>
        <f t="array" ref="O13">MIN(IF((OutputTable[GroupByKey]=OutputTable[[#This Row],[GroupByKey]]),(OutputTable[GroupByKey]=OutputTable[[#This Row],[GroupByKey]])*OutputTable[RecordedValue]))</f>
        <v>0</v>
      </c>
      <c r="P13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">
      <c r="A14" t="s">
        <v>67</v>
      </c>
      <c r="B14" t="s">
        <v>70</v>
      </c>
      <c r="C14">
        <v>1</v>
      </c>
      <c r="D14" t="s">
        <v>112</v>
      </c>
      <c r="E14" t="s">
        <v>113</v>
      </c>
      <c r="F14" t="s">
        <v>79</v>
      </c>
      <c r="G14">
        <v>1200</v>
      </c>
      <c r="H14">
        <v>0</v>
      </c>
      <c r="I14" t="str">
        <f>OutputTable[[#This Row],[ProjectName]]&amp;OutputTable[[#This Row],[Name]]&amp;OutputTable[[#This Row],[Type]]&amp;OutputTable[[#This Row],[Source]]</f>
        <v>Unnamed ProjectStudent.NumberInNumber InEntity</v>
      </c>
      <c r="J14">
        <f t="array" ref="J14">MAX(IF((ProjectInfoTable[ProjectName]=OutputTable[[#This Row],[ProjectName]]),(ProjectInfoTable[ProjectName]=OutputTable[[#This Row],[ProjectName]])*ProjectInfoTable[NumberOfReplications]))</f>
        <v>1</v>
      </c>
      <c r="K14">
        <f t="array" ref="K14">IFERROR(AVERAGE(IF((OutputTable[GroupByKey]=OutputTable[[#This Row],[GroupByKey]]),(OutputTable[GroupByKey]=OutputTable[[#This Row],[GroupByKey]])*OutputTable[RecordedValue])),0)</f>
        <v>1200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>
        <f t="array" ref="O14">MIN(IF((OutputTable[GroupByKey]=OutputTable[[#This Row],[GroupByKey]]),(OutputTable[GroupByKey]=OutputTable[[#This Row],[GroupByKey]])*OutputTable[RecordedValue]))</f>
        <v>1200</v>
      </c>
      <c r="P14">
        <f t="array" ref="P14">MAX(IF((OutputTable[GroupByKey]=OutputTable[[#This Row],[GroupByKey]]),(OutputTable[GroupByKey]=OutputTable[[#This Row],[GroupByKey]])*OutputTable[RecordedValue]))</f>
        <v>1200</v>
      </c>
    </row>
    <row r="15" spans="1:16" x14ac:dyDescent="0.3">
      <c r="A15" t="s">
        <v>67</v>
      </c>
      <c r="B15" t="s">
        <v>70</v>
      </c>
      <c r="C15">
        <v>1</v>
      </c>
      <c r="D15" t="s">
        <v>114</v>
      </c>
      <c r="E15" t="s">
        <v>115</v>
      </c>
      <c r="F15" t="s">
        <v>79</v>
      </c>
      <c r="G15">
        <v>1200</v>
      </c>
      <c r="H15">
        <v>0</v>
      </c>
      <c r="I15" t="str">
        <f>OutputTable[[#This Row],[ProjectName]]&amp;OutputTable[[#This Row],[Name]]&amp;OutputTable[[#This Row],[Type]]&amp;OutputTable[[#This Row],[Source]]</f>
        <v>Unnamed ProjectStudent.NumberOutNumber OutEntity</v>
      </c>
      <c r="J15">
        <f t="array" ref="J15">MAX(IF((ProjectInfoTable[ProjectName]=OutputTable[[#This Row],[ProjectName]]),(ProjectInfoTable[ProjectName]=OutputTable[[#This Row],[ProjectName]])*ProjectInfoTable[NumberOfReplications]))</f>
        <v>1</v>
      </c>
      <c r="K15">
        <f t="array" ref="K15">IFERROR(AVERAGE(IF((OutputTable[GroupByKey]=OutputTable[[#This Row],[GroupByKey]]),(OutputTable[GroupByKey]=OutputTable[[#This Row],[GroupByKey]])*OutputTable[RecordedValue])),0)</f>
        <v>1200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>
        <f t="array" ref="O15">MIN(IF((OutputTable[GroupByKey]=OutputTable[[#This Row],[GroupByKey]]),(OutputTable[GroupByKey]=OutputTable[[#This Row],[GroupByKey]])*OutputTable[RecordedValue]))</f>
        <v>1200</v>
      </c>
      <c r="P15">
        <f t="array" ref="P15">MAX(IF((OutputTable[GroupByKey]=OutputTable[[#This Row],[GroupByKey]]),(OutputTable[GroupByKey]=OutputTable[[#This Row],[GroupByKey]])*OutputTable[RecordedValue]))</f>
        <v>1200</v>
      </c>
    </row>
    <row r="16" spans="1:16" x14ac:dyDescent="0.3">
      <c r="A16" t="s">
        <v>67</v>
      </c>
      <c r="B16" t="s">
        <v>70</v>
      </c>
      <c r="C16">
        <v>1</v>
      </c>
      <c r="D16" t="s">
        <v>116</v>
      </c>
      <c r="E16" t="s">
        <v>115</v>
      </c>
      <c r="F16" t="s">
        <v>117</v>
      </c>
      <c r="G16">
        <v>1200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>
        <f t="array" ref="J16">MAX(IF((ProjectInfoTable[ProjectName]=OutputTable[[#This Row],[ProjectName]]),(ProjectInfoTable[ProjectName]=OutputTable[[#This Row],[ProjectName]])*ProjectInfoTable[NumberOfReplications]))</f>
        <v>1</v>
      </c>
      <c r="K16">
        <f t="array" ref="K16">IFERROR(AVERAGE(IF((OutputTable[GroupByKey]=OutputTable[[#This Row],[GroupByKey]]),(OutputTable[GroupByKey]=OutputTable[[#This Row],[GroupByKey]])*OutputTable[RecordedValue])),0)</f>
        <v>1200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>
        <f t="array" ref="O16">MIN(IF((OutputTable[GroupByKey]=OutputTable[[#This Row],[GroupByKey]]),(OutputTable[GroupByKey]=OutputTable[[#This Row],[GroupByKey]])*OutputTable[RecordedValue]))</f>
        <v>1200</v>
      </c>
      <c r="P16">
        <f t="array" ref="P16">MAX(IF((OutputTable[GroupByKey]=OutputTable[[#This Row],[GroupByKey]]),(OutputTable[GroupByKey]=OutputTable[[#This Row],[GroupByKey]])*OutputTable[RecordedValue]))</f>
        <v>1200</v>
      </c>
    </row>
  </sheetData>
  <phoneticPr fontId="2" type="noConversion"/>
  <conditionalFormatting sqref="I2:P16">
    <cfRule type="expression" dxfId="3" priority="2">
      <formula>MOD(ROW(),2)=0</formula>
    </cfRule>
  </conditionalFormatting>
  <conditionalFormatting sqref="N2:N1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AbuBakarAtiq</cp:lastModifiedBy>
  <cp:lastPrinted>2022-03-22T10:33:10Z</cp:lastPrinted>
  <dcterms:created xsi:type="dcterms:W3CDTF">2020-06-29T21:30:31Z</dcterms:created>
  <dcterms:modified xsi:type="dcterms:W3CDTF">2024-10-29T16:10:19Z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